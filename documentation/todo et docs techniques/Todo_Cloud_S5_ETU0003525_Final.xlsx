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upe" sheetId="1" state="visible" r:id="rId3"/>
    <sheet name="liste des taches" sheetId="2" state="visible" r:id="rId4"/>
    <sheet name="detail_avancement" sheetId="3" state="hidden" r:id="rId5"/>
    <sheet name="avancement" sheetId="4" state="visible" r:id="rId6"/>
    <sheet name="Recap" sheetId="5" state="visible" r:id="rId7"/>
    <sheet name="V1" sheetId="6" state="visible" r:id="rId8"/>
    <sheet name="V2" sheetId="7" state="visible" r:id="rId9"/>
    <sheet name="V3" sheetId="8" state="visible" r:id="rId10"/>
    <sheet name="V4" sheetId="9" state="visible" r:id="rId11"/>
    <sheet name="V5" sheetId="10" state="visible" r:id="rId12"/>
    <sheet name="stats_global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<sst xmlns="http://schemas.openxmlformats.org/spreadsheetml/2006/main" count="1657" uniqueCount="317">
  <si>
    <t xml:space="preserve">👥 EQUIPE PROJET — Cloud S5 RouteWatch</t>
  </si>
  <si>
    <t xml:space="preserve">NumETU</t>
  </si>
  <si>
    <t xml:space="preserve">Membre</t>
  </si>
  <si>
    <t xml:space="preserve">Rôle principal</t>
  </si>
  <si>
    <t xml:space="preserve">Note</t>
  </si>
  <si>
    <t xml:space="preserve">ETU0003525</t>
  </si>
  <si>
    <t xml:space="preserve">Membre 1</t>
  </si>
  <si>
    <t xml:space="preserve">Pilotage technique + architecture</t>
  </si>
  <si>
    <t xml:space="preserve">Travail solo </t>
  </si>
  <si>
    <t xml:space="preserve">Membre 2</t>
  </si>
  <si>
    <t xml:space="preserve">Backend API + base de donnees</t>
  </si>
  <si>
    <t xml:space="preserve">Membre 3</t>
  </si>
  <si>
    <t xml:space="preserve">Web + carte offline</t>
  </si>
  <si>
    <t xml:space="preserve">Membre 4</t>
  </si>
  <si>
    <t xml:space="preserve">Mobile + synchronisation</t>
  </si>
  <si>
    <t xml:space="preserve">probleme pc plusieurs semaines</t>
  </si>
  <si>
    <t xml:space="preserve">📋 LISTE DES TÂCHES — Cloud S5 RouteWatch | ETU0003525</t>
  </si>
  <si>
    <t xml:space="preserve">Ligne</t>
  </si>
  <si>
    <t xml:space="preserve">Version</t>
  </si>
  <si>
    <t xml:space="preserve">Catégorie</t>
  </si>
  <si>
    <t xml:space="preserve">Module</t>
  </si>
  <si>
    <t xml:space="preserve">Page/Service</t>
  </si>
  <si>
    <t xml:space="preserve">Description tâche</t>
  </si>
  <si>
    <t xml:space="preserve">Type</t>
  </si>
  <si>
    <t xml:space="preserve">Qui</t>
  </si>
  <si>
    <t xml:space="preserve">Estimation</t>
  </si>
  <si>
    <t xml:space="preserve">Estimation (h)</t>
  </si>
  <si>
    <t xml:space="preserve">Temps passé (h)</t>
  </si>
  <si>
    <t xml:space="preserve">Reste (h)</t>
  </si>
  <si>
    <t xml:space="preserve">Avancement</t>
  </si>
  <si>
    <t xml:space="preserve">Statut</t>
  </si>
  <si>
    <t xml:space="preserve">Priorité</t>
  </si>
  <si>
    <t xml:space="preserve">V1</t>
  </si>
  <si>
    <t xml:space="preserve">Cadrage</t>
  </si>
  <si>
    <t xml:space="preserve">Projet</t>
  </si>
  <si>
    <t xml:space="preserve">Global</t>
  </si>
  <si>
    <t xml:space="preserve">Lire le sujet et decouper en modules Auth/Carte/Web/Mobile/Livrables.</t>
  </si>
  <si>
    <t xml:space="preserve">Conception</t>
  </si>
  <si>
    <t xml:space="preserve">1 h 30 min</t>
  </si>
  <si>
    <t xml:space="preserve">Fait</t>
  </si>
  <si>
    <t xml:space="preserve">Haute</t>
  </si>
  <si>
    <t xml:space="preserve">Architecture</t>
  </si>
  <si>
    <t xml:space="preserve">Docker</t>
  </si>
  <si>
    <t xml:space="preserve">Definir architecture cible multi-conteneurs et conventions de ports.</t>
  </si>
  <si>
    <t xml:space="preserve">2 h</t>
  </si>
  <si>
    <t xml:space="preserve">Base</t>
  </si>
  <si>
    <t xml:space="preserve">SQL</t>
  </si>
  <si>
    <t xml:space="preserve">script.sql</t>
  </si>
  <si>
    <t xml:space="preserve">Creer table roles (id, nom unique).</t>
  </si>
  <si>
    <t xml:space="preserve">Backend</t>
  </si>
  <si>
    <t xml:space="preserve">20 min</t>
  </si>
  <si>
    <t xml:space="preserve">Creer table utilisateurs (email, role, blocage, tentatives, dates).</t>
  </si>
  <si>
    <t xml:space="preserve">45 min</t>
  </si>
  <si>
    <t xml:space="preserve">Creer table sessions (token, expiration, actif).</t>
  </si>
  <si>
    <t xml:space="preserve">30 min</t>
  </si>
  <si>
    <t xml:space="preserve">Creer table parametres_auth (limite_tentatives, duree_session).</t>
  </si>
  <si>
    <t xml:space="preserve">25 min</t>
  </si>
  <si>
    <t xml:space="preserve">Seed</t>
  </si>
  <si>
    <t xml:space="preserve">Inserer roles par defaut UTILISATEUR/MANAGER.</t>
  </si>
  <si>
    <t xml:space="preserve">15 min</t>
  </si>
  <si>
    <t xml:space="preserve">Inserer manager par defaut admin@gmail.com.</t>
  </si>
  <si>
    <t xml:space="preserve">Auth</t>
  </si>
  <si>
    <t xml:space="preserve">API</t>
  </si>
  <si>
    <t xml:space="preserve">/api/auth/register</t>
  </si>
  <si>
    <t xml:space="preserve">Implementer inscription locale PostgreSQL.</t>
  </si>
  <si>
    <t xml:space="preserve">1 h</t>
  </si>
  <si>
    <t xml:space="preserve">/api/auth/login</t>
  </si>
  <si>
    <t xml:space="preserve">Implementer login email/mot de passe et retour token session.</t>
  </si>
  <si>
    <t xml:space="preserve">Securite</t>
  </si>
  <si>
    <t xml:space="preserve">Service auth</t>
  </si>
  <si>
    <t xml:space="preserve">Implementer duree de vie session configurable.</t>
  </si>
  <si>
    <t xml:space="preserve">50 min</t>
  </si>
  <si>
    <t xml:space="preserve">Implementer limite tentatives (defaut 3) + blocage compte.</t>
  </si>
  <si>
    <t xml:space="preserve">/api/auth/reset-lock/{id}</t>
  </si>
  <si>
    <t xml:space="preserve">Implementer API REST de deblocage utilisateur.</t>
  </si>
  <si>
    <t xml:space="preserve">40 min</t>
  </si>
  <si>
    <t xml:space="preserve">/api/auth/users</t>
  </si>
  <si>
    <t xml:space="preserve">Implementer lecture/mise a jour des infos utilisateur.</t>
  </si>
  <si>
    <t xml:space="preserve">Doc</t>
  </si>
  <si>
    <t xml:space="preserve">Swagger</t>
  </si>
  <si>
    <t xml:space="preserve">OpenAPI</t>
  </si>
  <si>
    <t xml:space="preserve">Exposer et verifier documentation API Auth.</t>
  </si>
  <si>
    <t xml:space="preserve">35 min</t>
  </si>
  <si>
    <t xml:space="preserve">V2</t>
  </si>
  <si>
    <t xml:space="preserve">Carte</t>
  </si>
  <si>
    <t xml:space="preserve">Serveur offline</t>
  </si>
  <si>
    <t xml:space="preserve">CARTE</t>
  </si>
  <si>
    <t xml:space="preserve">Configurer serveur carte offline dans Docker (MBTiles Antananarivo).</t>
  </si>
  <si>
    <t xml:space="preserve">DevOps</t>
  </si>
  <si>
    <t xml:space="preserve">Tuiles</t>
  </si>
  <si>
    <t xml:space="preserve">server.js</t>
  </si>
  <si>
    <t xml:space="preserve">Servir tuiles vectorielles et style local sans internet.</t>
  </si>
  <si>
    <t xml:space="preserve">1 h 20 min</t>
  </si>
  <si>
    <t xml:space="preserve">Style</t>
  </si>
  <si>
    <t xml:space="preserve">style.json</t>
  </si>
  <si>
    <t xml:space="preserve">Ajuster style pour rues, eau, zones urbaines.</t>
  </si>
  <si>
    <t xml:space="preserve">Frontend</t>
  </si>
  <si>
    <t xml:space="preserve">Qualite</t>
  </si>
  <si>
    <t xml:space="preserve">Routing static</t>
  </si>
  <si>
    <t xml:space="preserve">Corriger routes /styles/data et /data pour supprimer 404/blank map.</t>
  </si>
  <si>
    <t xml:space="preserve">Web</t>
  </si>
  <si>
    <t xml:space="preserve">Visiteur</t>
  </si>
  <si>
    <t xml:space="preserve">/visiteur</t>
  </si>
  <si>
    <t xml:space="preserve">Afficher carte et points de problemes routiers.</t>
  </si>
  <si>
    <t xml:space="preserve">Popup</t>
  </si>
  <si>
    <t xml:space="preserve">Afficher date, statut, surface, budget, entreprise, photos, niveau.</t>
  </si>
  <si>
    <t xml:space="preserve">Recap</t>
  </si>
  <si>
    <t xml:space="preserve">Afficher nb points, surface totale, avancement moyen, budget total.</t>
  </si>
  <si>
    <t xml:space="preserve">1 h 10 min</t>
  </si>
  <si>
    <t xml:space="preserve">Manager</t>
  </si>
  <si>
    <t xml:space="preserve">/</t>
  </si>
  <si>
    <t xml:space="preserve">Connexion manager via API Auth.</t>
  </si>
  <si>
    <t xml:space="preserve">Comptes</t>
  </si>
  <si>
    <t xml:space="preserve">Creer/editer/supprimer comptes utilisateurs.</t>
  </si>
  <si>
    <t xml:space="preserve">1 h 40 min</t>
  </si>
  <si>
    <t xml:space="preserve">Blocage</t>
  </si>
  <si>
    <t xml:space="preserve">Page de deblocage des utilisateurs bloques.</t>
  </si>
  <si>
    <t xml:space="preserve">Signalements</t>
  </si>
  <si>
    <t xml:space="preserve">Saisir/editer surface, budget, entreprise, statut.</t>
  </si>
  <si>
    <t xml:space="preserve">Calcul</t>
  </si>
  <si>
    <t xml:space="preserve">Calcul budget auto = prix_par_m2 * niveau * surface_m2.</t>
  </si>
  <si>
    <t xml:space="preserve">Regles 0%/50%/100% selon statut.</t>
  </si>
  <si>
    <t xml:space="preserve">Stats</t>
  </si>
  <si>
    <t xml:space="preserve">Tableau delai moyen de traitement travaux.</t>
  </si>
  <si>
    <t xml:space="preserve">Sync</t>
  </si>
  <si>
    <t xml:space="preserve">Firebase/local</t>
  </si>
  <si>
    <t xml:space="preserve">Bouton sync</t>
  </si>
  <si>
    <t xml:space="preserve">Ajouter synchronisation pull/push des donnees.</t>
  </si>
  <si>
    <t xml:space="preserve">V3</t>
  </si>
  <si>
    <t xml:space="preserve">Mobile</t>
  </si>
  <si>
    <t xml:space="preserve">Login</t>
  </si>
  <si>
    <t xml:space="preserve">Tab1</t>
  </si>
  <si>
    <t xml:space="preserve">Connecter mobile a Firebase Auth (email/password), verifier blocage via backend et synchroniser utilisateur local (/api/auth/mobile-login).</t>
  </si>
  <si>
    <t xml:space="preserve">Tab2</t>
  </si>
  <si>
    <t xml:space="preserve">Afficher carte + geolocalisation + clic pour nouveau signalement.</t>
  </si>
  <si>
    <t xml:space="preserve">Signalement</t>
  </si>
  <si>
    <t xml:space="preserve">Ajouter type, surface, description, multi-photos.</t>
  </si>
  <si>
    <t xml:space="preserve">Filtre</t>
  </si>
  <si>
    <t xml:space="preserve">Filtre 'mes signalements uniquement'.</t>
  </si>
  <si>
    <t xml:space="preserve">Afficher recap mobile identique au visiteur web.</t>
  </si>
  <si>
    <t xml:space="preserve">Notifications</t>
  </si>
  <si>
    <t xml:space="preserve">Tab3</t>
  </si>
  <si>
    <t xml:space="preserve">Notifier changement statut de mes signalements.</t>
  </si>
  <si>
    <t xml:space="preserve">1 h 15 min</t>
  </si>
  <si>
    <t xml:space="preserve">Build</t>
  </si>
  <si>
    <t xml:space="preserve">Android</t>
  </si>
  <si>
    <t xml:space="preserve">Corriger erreur VANILLA_ICE_CREAM (SDK/Java/Capacitor).</t>
  </si>
  <si>
    <t xml:space="preserve">APK</t>
  </si>
  <si>
    <t xml:space="preserve">Assembler APK debug et verifier installation.</t>
  </si>
  <si>
    <t xml:space="preserve">UI Map</t>
  </si>
  <si>
    <t xml:space="preserve">Dashboard</t>
  </si>
  <si>
    <t xml:space="preserve">Optimiser zoom, centre, lisibilite labels et densite contenu.</t>
  </si>
  <si>
    <t xml:space="preserve">Ameliorer icones signalements par type de probleme.</t>
  </si>
  <si>
    <t xml:space="preserve">V4</t>
  </si>
  <si>
    <t xml:space="preserve">Auto-init</t>
  </si>
  <si>
    <t xml:space="preserve">application-docker.properties</t>
  </si>
  <si>
    <t xml:space="preserve">Forcer execution auto script.sql au demarrage conteneur.</t>
  </si>
  <si>
    <t xml:space="preserve">route/resources</t>
  </si>
  <si>
    <t xml:space="preserve">Rendre script idempotent (CREATE IF NOT EXISTS + INSERT guarded).</t>
  </si>
  <si>
    <t xml:space="preserve">Injecter donnees tests coherentes (lieux, signalements, travaux).</t>
  </si>
  <si>
    <t xml:space="preserve">Robustesse</t>
  </si>
  <si>
    <t xml:space="preserve">Parsing</t>
  </si>
  <si>
    <t xml:space="preserve">Normaliser statuts et nombres pour coherence web/mobile.</t>
  </si>
  <si>
    <t xml:space="preserve">Travaux</t>
  </si>
  <si>
    <t xml:space="preserve">/api/travaux/stats/delais</t>
  </si>
  <si>
    <t xml:space="preserve">Ajouter stats delais min/moy/max.</t>
  </si>
  <si>
    <t xml:space="preserve">55 min</t>
  </si>
  <si>
    <t xml:space="preserve">Security</t>
  </si>
  <si>
    <t xml:space="preserve">Sessions</t>
  </si>
  <si>
    <t xml:space="preserve">Invalidation sessions lors de deblocage/operations critiques.</t>
  </si>
  <si>
    <t xml:space="preserve">QA</t>
  </si>
  <si>
    <t xml:space="preserve">Tests</t>
  </si>
  <si>
    <t xml:space="preserve">Postman</t>
  </si>
  <si>
    <t xml:space="preserve">Verifier flux complet auth + signalement + travaux + sync.</t>
  </si>
  <si>
    <t xml:space="preserve">Execution</t>
  </si>
  <si>
    <t xml:space="preserve">README</t>
  </si>
  <si>
    <t xml:space="preserve">Mettre guide lancement docker et builds.</t>
  </si>
  <si>
    <t xml:space="preserve">V5</t>
  </si>
  <si>
    <t xml:space="preserve">Pro</t>
  </si>
  <si>
    <t xml:space="preserve">Analytics</t>
  </si>
  <si>
    <t xml:space="preserve">/api/analytics/criticality</t>
  </si>
  <si>
    <t xml:space="preserve">Scoring criticite multi-facteurs pour prioriser interventions.</t>
  </si>
  <si>
    <t xml:space="preserve">Critique</t>
  </si>
  <si>
    <t xml:space="preserve">Audit</t>
  </si>
  <si>
    <t xml:space="preserve">/api/analytics/audit</t>
  </si>
  <si>
    <t xml:space="preserve">Table audit_logs + journal actions create/update/delete/lock/unlock.</t>
  </si>
  <si>
    <t xml:space="preserve">/api/analytics/impact</t>
  </si>
  <si>
    <t xml:space="preserve">KPI impact: ouverts/clotures, budget/m2, delai moyen, hotspots.</t>
  </si>
  <si>
    <t xml:space="preserve">/analytics/criticality</t>
  </si>
  <si>
    <t xml:space="preserve">Page web Criticite dediee.</t>
  </si>
  <si>
    <t xml:space="preserve">/analytics/audit</t>
  </si>
  <si>
    <t xml:space="preserve">Page web Audit Trail dediee.</t>
  </si>
  <si>
    <t xml:space="preserve">/analytics/impact</t>
  </si>
  <si>
    <t xml:space="preserve">Page web Impact &amp; performance dediee.</t>
  </si>
  <si>
    <t xml:space="preserve">Widget</t>
  </si>
  <si>
    <t xml:space="preserve">Mini carte scrollable utilisateurs bloques en bas droite.</t>
  </si>
  <si>
    <t xml:space="preserve">3 contenus mobiles synchronises: Criticite, Audit, Impact.</t>
  </si>
  <si>
    <t xml:space="preserve">Seed utilisateur bloque + jeux de donnees analytics.</t>
  </si>
  <si>
    <t xml:space="preserve">Verification</t>
  </si>
  <si>
    <t xml:space="preserve">Builds</t>
  </si>
  <si>
    <t xml:space="preserve">Valider compilation Maven + build web + build mobile.</t>
  </si>
  <si>
    <t xml:space="preserve">/analytics</t>
  </si>
  <si>
    <t xml:space="preserve">Corriger page /analytics/audit vide: initialisation automatique du journal (seed SQL + fallback backend).</t>
  </si>
  <si>
    <t xml:space="preserve">Ajouter nouvelle page /analytics/charts avec graphiques globaux (statuts, types, criticite) et navigation.</t>
  </si>
  <si>
    <t xml:space="preserve">4 h 15 min</t>
  </si>
  <si>
    <t xml:space="preserve">pro</t>
  </si>
  <si>
    <t xml:space="preserve">projet</t>
  </si>
  <si>
    <t xml:space="preserve">dossier du projet</t>
  </si>
  <si>
    <t xml:space="preserve">restructuration du projet selon le livrable(crypto….)</t>
  </si>
  <si>
    <t xml:space="preserve">terminal</t>
  </si>
  <si>
    <t xml:space="preserve">ETU003525</t>
  </si>
  <si>
    <t xml:space="preserve">30min</t>
  </si>
  <si>
    <t xml:space="preserve">test sur wsl </t>
  </si>
  <si>
    <t xml:space="preserve">tester un deploiement pour voir si tout marche</t>
  </si>
  <si>
    <t xml:space="preserve">WSL docker</t>
  </si>
  <si>
    <t xml:space="preserve">1h</t>
  </si>
  <si>
    <t xml:space="preserve">Firebase</t>
  </si>
  <si>
    <t xml:space="preserve">FirebaseInitializer.java</t>
  </si>
  <si>
    <t xml:space="preserve">Initialisation Firebase Admin SDK + chargement firebase-service-account.json + prevention double initialisation + gestion erreurs</t>
  </si>
  <si>
    <t xml:space="preserve">FirebaseConfig.java</t>
  </si>
  <si>
    <t xml:space="preserve">Configuration Spring @Configuration + @PostConstruct + lecture variable env FIREBASE_SERVICE_ACCOUNT + logging erreurs init</t>
  </si>
  <si>
    <t xml:space="preserve">FirebaseSyncService.java</t>
  </si>
  <si>
    <t xml:space="preserve">Sync signalements: syncSignalementToFirestore() + syncSignalementsToLocal() + deleteSignalementFromFirestore()</t>
  </si>
  <si>
    <t xml:space="preserve">Sync travaux: syncTravauxToFirestore() + syncTravauxToLocal()</t>
  </si>
  <si>
    <t xml:space="preserve">Sync historiques: syncHistoriquesTravauxToFirestore() + syncHistoriquesTravauxToLocal()</t>
  </si>
  <si>
    <t xml:space="preserve">Sync utilisateurs non-MANAGER vers Firebase + syncFull() + syncOnStartup() + isFirebaseConfigured()</t>
  </si>
  <si>
    <t xml:space="preserve">firebase.ts (front-crypto)</t>
  </si>
  <si>
    <t xml:space="preserve">Init app Firebase cloud-mobile-c6ab2 + auth + Firestore + persistance IndexedDB offline + isFirebaseInitialized() + testFirebaseConnection()</t>
  </si>
  <si>
    <t xml:space="preserve">firebaseSyncService.ts (Web)</t>
  </si>
  <si>
    <t xml:space="preserve">CRUD Firestore: addSignalement/updateSignalement/deleteSignalement + addTravaux/updateTravaux + addUtilisateur/updateUtilisateur</t>
  </si>
  <si>
    <t xml:space="preserve">Temps reel onSnapshot: subscribeToSignalements() + subscribeToTravaux() + subscribeToUtilisateurs() + gestion unsubscribe</t>
  </si>
  <si>
    <t xml:space="preserve">FirebaseSyncButton.tsx</t>
  </si>
  <si>
    <t xml:space="preserve">Composant React sync manuelle + bouton declenchement syncFull + affichage etat + gestion erreurs synchronisation</t>
  </si>
  <si>
    <t xml:space="preserve">initializeFirebaseUsers.ts</t>
  </si>
  <si>
    <t xml:space="preserve">Initialisation utilisateurs Firebase au demarrage + synchronisation comptes + gestion comptes par defaut</t>
  </si>
  <si>
    <t xml:space="preserve">firebase.ts (mobile)</t>
  </si>
  <si>
    <t xml:space="preserve">Init Firebase mobile + auth + Firestore + FCM messaging + requestNotificationPermission() + onMessageListener()</t>
  </si>
  <si>
    <t xml:space="preserve">2h</t>
  </si>
  <si>
    <t xml:space="preserve">firebaseSyncService.ts (Mobile)</t>
  </si>
  <si>
    <t xml:space="preserve">CRUD + subscriptions temps reel signalements/travaux/utilisateurs + gestion unsubscribe (identique web, adapte Ionic/Vue)</t>
  </si>
  <si>
    <t xml:space="preserve">firebaseNotificationService.ts</t>
  </si>
  <si>
    <t xml:space="preserve">Notifications push FCM: init service + gestion tokens + ecoute changements statuts signalements + foreground/background</t>
  </si>
  <si>
    <t xml:space="preserve">SyncStatusFirebase.vue</t>
  </si>
  <si>
    <t xml:space="preserve">Composant Vue indicateur connexion Firebase + statistiques sync + affichage erreurs + SyncStatusFirebase integration</t>
  </si>
  <si>
    <t xml:space="preserve">3 h</t>
  </si>
  <si>
    <t xml:space="preserve">Total</t>
  </si>
  <si>
    <t xml:space="preserve">📊 AVANCEMENT GLOBAL — Cloud S5 RouteWatch</t>
  </si>
  <si>
    <t xml:space="preserve">Estimation totale (h)</t>
  </si>
  <si>
    <t xml:space="preserve">Temps passé total (h)</t>
  </si>
  <si>
    <t xml:space="preserve">Reste total (h)</t>
  </si>
  <si>
    <t xml:space="preserve">Avancement global</t>
  </si>
  <si>
    <t xml:space="preserve">Dépassement</t>
  </si>
  <si>
    <t xml:space="preserve">Reste en jours (8h)</t>
  </si>
  <si>
    <t xml:space="preserve">probleme pc plusieurs semaines </t>
  </si>
  <si>
    <t xml:space="preserve">📋 Détail par version</t>
  </si>
  <si>
    <t xml:space="preserve">Nb tâches</t>
  </si>
  <si>
    <t xml:space="preserve">🔥 Firebase</t>
  </si>
  <si>
    <t xml:space="preserve">15 tâches Firebase intégrées dans V3 (Web+Mobile) et V4 (Backend) — 18/02/2026</t>
  </si>
  <si>
    <t xml:space="preserve">📌 RÉCAPITULATIF PROJET — Cloud S5 RouteWatch</t>
  </si>
  <si>
    <t xml:space="preserve">Cloud S5 - RouteWatch</t>
  </si>
  <si>
    <t xml:space="preserve">Promotion</t>
  </si>
  <si>
    <t xml:space="preserve">17</t>
  </si>
  <si>
    <t xml:space="preserve">Versions</t>
  </si>
  <si>
    <t xml:space="preserve">V1 13/01/2026 | V2 20/01/2026 | V3 03/02/2026 | V4 10/02/2026 | V5 15/02/2026 | Firebase 18/02/2026 (dans V3/V4)</t>
  </si>
  <si>
    <t xml:space="preserve">Total taches</t>
  </si>
  <si>
    <t xml:space="preserve">Temps passe total (h)</t>
  </si>
  <si>
    <t xml:space="preserve">Commentaire</t>
  </si>
  <si>
    <t xml:space="preserve">Ordre aligne au sujet + V5 analytics/audit/impact; mobile login via Firebase Auth + sync backend local.</t>
  </si>
  <si>
    <t xml:space="preserve">Livrable</t>
  </si>
  <si>
    <t xml:space="preserve">Sources</t>
  </si>
  <si>
    <t xml:space="preserve">Docker compose</t>
  </si>
  <si>
    <t xml:space="preserve">Collection Postman</t>
  </si>
  <si>
    <t xml:space="preserve">Documentation technique</t>
  </si>
  <si>
    <t xml:space="preserve">En cours</t>
  </si>
  <si>
    <t xml:space="preserve">🚀 V1 — </t>
  </si>
  <si>
    <t xml:space="preserve">Date</t>
  </si>
  <si>
    <t xml:space="preserve">13/01/2026</t>
  </si>
  <si>
    <t xml:space="preserve">Objectif</t>
  </si>
  <si>
    <t xml:space="preserve">Auth API + base locale + Swagger</t>
  </si>
  <si>
    <t xml:space="preserve">Categorie</t>
  </si>
  <si>
    <t xml:space="preserve">Description</t>
  </si>
  <si>
    <t xml:space="preserve">Priorite</t>
  </si>
  <si>
    <t xml:space="preserve">🚀 V2 — </t>
  </si>
  <si>
    <t xml:space="preserve">20/01/2026</t>
  </si>
  <si>
    <t xml:space="preserve">Carte offline + web visiteur/manager</t>
  </si>
  <si>
    <t xml:space="preserve">🚀 V3 — Mobile synchronisé + Firebase Web/Mobile + APK</t>
  </si>
  <si>
    <t xml:space="preserve">03/02/2026</t>
  </si>
  <si>
    <t xml:space="preserve">Mobile synchronise + notifications + APK</t>
  </si>
  <si>
    <t xml:space="preserve">🔥 Firebase — Intégration Web &amp; Mobile (18/02/2026)</t>
  </si>
  <si>
    <t xml:space="preserve">Composant React sync manuelle + bouton declenchement syncFull + affichage etat synchronisation + gestion erreurs</t>
  </si>
  <si>
    <t xml:space="preserve">Init Firebase mobile cloud-mobile-c6ab2 + auth + Firestore + FCM messaging + requestNotificationPermission() + onMessageListener()</t>
  </si>
  <si>
    <t xml:space="preserve">CRUD + subscriptions temps reel signalements/travaux/utilisateurs + gestion unsubscribe (adapte Ionic/Vue)</t>
  </si>
  <si>
    <t xml:space="preserve">Composant Vue indicateur connexion Firebase + statistiques sync + affichage erreurs + integration SyncStatusFirebase</t>
  </si>
  <si>
    <t xml:space="preserve">🚀 V4 — Robustesse + Firebase Backend + Tests</t>
  </si>
  <si>
    <t xml:space="preserve">10/02/2026</t>
  </si>
  <si>
    <t xml:space="preserve">Robustesse + auto-init SQL + tests</t>
  </si>
  <si>
    <t xml:space="preserve">🔥 Firebase — Intégration Backend Java/Spring Boot (18/02/2026)</t>
  </si>
  <si>
    <t xml:space="preserve">Initialisation Firebase Admin SDK + chargement firebase-service-account.json + prevention double init + gestion erreurs</t>
  </si>
  <si>
    <t xml:space="preserve">Configuration Spring @Configuration + @PostConstruct + variable env FIREBASE_SERVICE_ACCOUNT + logging erreurs init</t>
  </si>
  <si>
    <t xml:space="preserve">Sync historiques travaux: syncHistoriquesTravauxToFirestore() + syncHistoriquesTravauxToLocal()</t>
  </si>
  <si>
    <t xml:space="preserve">Sync utilisateurs non-MANAGER + syncFull() + syncOnStartup() + isFirebaseConfigured()</t>
  </si>
  <si>
    <t xml:space="preserve">🚀 V5 — </t>
  </si>
  <si>
    <t xml:space="preserve">15/02/2026</t>
  </si>
  <si>
    <t xml:space="preserve">Fonctionnalites pro analytics/audit/impact</t>
  </si>
  <si>
    <t xml:space="preserve">📈 STATISTIQUES GLOBALES — Cloud S5 RouteWatch | ETU0003525</t>
  </si>
  <si>
    <t xml:space="preserve">📊 Statistiques par version</t>
  </si>
  <si>
    <t xml:space="preserve">✅ Répartition Statuts</t>
  </si>
  <si>
    <t xml:space="preserve">Avancement moy.</t>
  </si>
  <si>
    <t xml:space="preserve">Date livraison</t>
  </si>
  <si>
    <t xml:space="preserve">Nombre</t>
  </si>
  <si>
    <t xml:space="preserve">A faire</t>
  </si>
  <si>
    <t xml:space="preserve">🔧 Répartition par Type</t>
  </si>
  <si>
    <t xml:space="preserve">TOTAL</t>
  </si>
  <si>
    <t xml:space="preserve">🎯 KPI Globaux</t>
  </si>
  <si>
    <t xml:space="preserve">Total tâches</t>
  </si>
  <si>
    <t xml:space="preserve">Tâches terminées</t>
  </si>
  <si>
    <t xml:space="preserve">Tâches en cours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</si>
</sst>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\ %"/>
    <numFmt numFmtId="166" formatCode="0.0%"/>
    <numFmt numFmtId="167" formatCode="dd/mm"/>
    <numFmt numFmtId="168" formatCode="dd/mm/yyyy"/>
    <numFmt numFmtId="169" formatCode="\+0.00%;\-0.00%;0%"/>
    <numFmt numFmtId="170" formatCode="0.00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E7E34"/>
      <name val="Arial"/>
      <family val="0"/>
      <charset val="1"/>
    </font>
    <font>
      <b val="true"/>
      <sz val="9"/>
      <color rgb="FF721C24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A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1E7E34"/>
      <name val="Arial"/>
      <family val="0"/>
      <charset val="1"/>
    </font>
    <font>
      <i val="true"/>
      <sz val="9"/>
      <color rgb="FFF57C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theme="1"/>
      <name val="Cambria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sz val="10"/>
      <color rgb="FF1565C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color rgb="FF2E7D32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sz val="10"/>
      <color rgb="FF6A1B9A"/>
      <name val="Arial"/>
      <family val="0"/>
      <charset val="1"/>
    </font>
    <font>
      <b val="true"/>
      <sz val="10"/>
      <color rgb="FFAD1457"/>
      <name val="Arial"/>
      <family val="0"/>
      <charset val="1"/>
    </font>
    <font>
      <sz val="10"/>
      <color rgb="FFAD1457"/>
      <name val="Arial"/>
      <family val="0"/>
      <charset val="1"/>
    </font>
    <font>
      <b val="true"/>
      <sz val="10"/>
      <color rgb="FF00838F"/>
      <name val="Arial"/>
      <family val="0"/>
      <charset val="1"/>
    </font>
    <font>
      <sz val="10"/>
      <color rgb="FF00838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E7E34"/>
      <name val="Arial"/>
      <family val="0"/>
      <charset val="1"/>
    </font>
    <font>
      <b val="true"/>
      <sz val="9"/>
      <color rgb="FF856404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0"/>
      <color rgb="FF721C24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060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283593"/>
        <bgColor rgb="FF1E3A5F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1A3A5C"/>
        <bgColor rgb="FF1E3A5F"/>
      </patternFill>
    </fill>
    <fill>
      <patternFill patternType="solid">
        <fgColor rgb="FF1565C0"/>
        <bgColor rgb="FF2B6CA3"/>
      </patternFill>
    </fill>
    <fill>
      <patternFill patternType="solid">
        <fgColor rgb="FFD6F0D6"/>
        <bgColor rgb="FFD6EAF8"/>
      </patternFill>
    </fill>
    <fill>
      <patternFill patternType="solid">
        <fgColor rgb="FFFFF9C4"/>
        <bgColor rgb="FFFFF3CD"/>
      </patternFill>
    </fill>
    <fill>
      <patternFill patternType="solid">
        <fgColor rgb="FF2E7D32"/>
        <bgColor rgb="FF1E7E34"/>
      </patternFill>
    </fill>
    <fill>
      <patternFill patternType="solid">
        <fgColor rgb="FF6A1B9A"/>
        <bgColor rgb="FF4A148C"/>
      </patternFill>
    </fill>
    <fill>
      <patternFill patternType="solid">
        <fgColor rgb="FFAD1457"/>
        <bgColor rgb="FF800080"/>
      </patternFill>
    </fill>
    <fill>
      <patternFill patternType="solid">
        <fgColor rgb="FF00838F"/>
        <bgColor rgb="FF2B6CA3"/>
      </patternFill>
    </fill>
    <fill>
      <patternFill patternType="solid">
        <fgColor rgb="FFFFE0B2"/>
        <bgColor rgb="FFF8D7DA"/>
      </patternFill>
    </fill>
    <fill>
      <patternFill patternType="solid">
        <fgColor rgb="FFF8D7DA"/>
        <bgColor rgb="FFFFE0B2"/>
      </patternFill>
    </fill>
    <fill>
      <patternFill patternType="solid">
        <fgColor rgb="FFF2F2F2"/>
        <bgColor rgb="FFEBF3FB"/>
      </patternFill>
    </fill>
    <fill>
      <patternFill patternType="solid">
        <fgColor rgb="FFFFF3E0"/>
        <bgColor rgb="FFFFF3CD"/>
      </patternFill>
    </fill>
    <fill>
      <patternFill patternType="solid">
        <fgColor rgb="FF2E6DA4"/>
        <bgColor rgb="FF2B6CA3"/>
      </patternFill>
    </fill>
    <fill>
      <patternFill patternType="solid">
        <fgColor rgb="FFF57C00"/>
        <bgColor rgb="FFFF9900"/>
      </patternFill>
    </fill>
    <fill>
      <patternFill patternType="solid">
        <fgColor rgb="FF4A148C"/>
        <bgColor rgb="FF6A1B9A"/>
      </patternFill>
    </fill>
    <fill>
      <patternFill patternType="solid">
        <fgColor rgb="FF1E3A5F"/>
        <bgColor rgb="FF1A3A5C"/>
      </patternFill>
    </fill>
    <fill>
      <patternFill patternType="solid">
        <fgColor rgb="FF2B6CA3"/>
        <bgColor rgb="FF2E6DA4"/>
      </patternFill>
    </fill>
    <fill>
      <patternFill patternType="solid">
        <fgColor rgb="FF006064"/>
        <bgColor rgb="FF00838F"/>
      </patternFill>
    </fill>
    <fill>
      <patternFill patternType="solid">
        <fgColor rgb="FFFFF3CD"/>
        <bgColor rgb="FFFFF9C4"/>
      </patternFill>
    </fill>
    <fill>
      <patternFill patternType="solid">
        <fgColor rgb="FFD6EAF8"/>
        <bgColor rgb="FFD9E1EC"/>
      </patternFill>
    </fill>
    <fill>
      <patternFill patternType="solid">
        <fgColor rgb="FF795548"/>
        <bgColor rgb="FF85640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D9E1EC"/>
      </left>
      <right style="thin">
        <color rgb="FFD9E1EC"/>
      </right>
      <top style="thin">
        <color rgb="FFD9E1EC"/>
      </top>
      <bottom style="thin">
        <color rgb="FFD9E1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2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21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21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2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2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21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21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2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21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21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2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21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21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2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21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21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2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7" fillId="2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721C24"/>
      <rgbColor rgb="FF1E7E34"/>
      <rgbColor rgb="FF000080"/>
      <rgbColor rgb="FF856404"/>
      <rgbColor rgb="FF6A1B9A"/>
      <rgbColor rgb="FF00838F"/>
      <rgbColor rgb="FFBDBDBD"/>
      <rgbColor rgb="FF878787"/>
      <rgbColor rgb="FF4F81BD"/>
      <rgbColor rgb="FFAD1457"/>
      <rgbColor rgb="FFFFF9C4"/>
      <rgbColor rgb="FFD6EAF8"/>
      <rgbColor rgb="FF4A148C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6064"/>
      <rgbColor rgb="FF0000FF"/>
      <rgbColor rgb="FF00CCFF"/>
      <rgbColor rgb="FFEBF3FB"/>
      <rgbColor rgb="FFD6F0D6"/>
      <rgbColor rgb="FFFFF3CD"/>
      <rgbColor rgb="FFD9E1EC"/>
      <rgbColor rgb="FFF8D7DA"/>
      <rgbColor rgb="FFF2F2F2"/>
      <rgbColor rgb="FFFFE0B2"/>
      <rgbColor rgb="FF2E6DA4"/>
      <rgbColor rgb="FF33CCCC"/>
      <rgbColor rgb="FF9BBB59"/>
      <rgbColor rgb="FFFFCC00"/>
      <rgbColor rgb="FFFF9900"/>
      <rgbColor rgb="FFF57C00"/>
      <rgbColor rgb="FF4A7EBB"/>
      <rgbColor rgb="FFB3B3B3"/>
      <rgbColor rgb="FF1A3A5C"/>
      <rgbColor rgb="FF2E7D32"/>
      <rgbColor rgb="FF003300"/>
      <rgbColor rgb="FF2B6CA3"/>
      <rgbColor rgb="FF795548"/>
      <rgbColor rgb="FFC0504D"/>
      <rgbColor rgb="FF283593"/>
      <rgbColor rgb="FF1E3A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DejaVu Sans"/>
              </a:rPr>
              <a:t>Charge par version (h)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stats_globales!$C$3</c:f>
              <c:strCache>
                <c:ptCount val="1"/>
                <c:pt idx="0">
                  <c:v>Estimation (h)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stats_globales!$A$4:$A$8</c:f>
              <c:strCache>
                <c:ptCount val="5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</c:strCache>
            </c:strRef>
          </c:cat>
          <c:val>
            <c:numRef>
              <c:f>stats_globales!$C$4:$C$8</c:f>
              <c:numCache>
                <c:formatCode>General</c:formatCode>
                <c:ptCount val="5"/>
                <c:pt idx="0">
                  <c:v>12.66</c:v>
                </c:pt>
                <c:pt idx="1">
                  <c:v>19.42</c:v>
                </c:pt>
                <c:pt idx="2">
                  <c:v>21.98</c:v>
                </c:pt>
                <c:pt idx="3">
                  <c:v>11.84</c:v>
                </c:pt>
                <c:pt idx="4">
                  <c:v>14.07</c:v>
                </c:pt>
              </c:numCache>
            </c:numRef>
          </c:val>
        </c:ser>
        <c:ser>
          <c:idx val="1"/>
          <c:order val="1"/>
          <c:tx>
            <c:strRef>
              <c:f>stats_globales!$D$3</c:f>
              <c:strCache>
                <c:ptCount val="1"/>
                <c:pt idx="0">
                  <c:v>Temps passé (h)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stats_globales!$A$4:$A$8</c:f>
              <c:strCache>
                <c:ptCount val="5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</c:strCache>
            </c:strRef>
          </c:cat>
          <c:val>
            <c:numRef>
              <c:f>stats_globales!$D$4:$D$8</c:f>
              <c:numCache>
                <c:formatCode>General</c:formatCode>
                <c:ptCount val="5"/>
                <c:pt idx="0">
                  <c:v>14.18</c:v>
                </c:pt>
                <c:pt idx="1">
                  <c:v>19.42</c:v>
                </c:pt>
                <c:pt idx="2">
                  <c:v>26.48</c:v>
                </c:pt>
                <c:pt idx="3">
                  <c:v>17.17</c:v>
                </c:pt>
                <c:pt idx="4">
                  <c:v>16.12</c:v>
                </c:pt>
              </c:numCache>
            </c:numRef>
          </c:val>
        </c:ser>
        <c:gapWidth val="150"/>
        <c:overlap val="0"/>
        <c:axId val="40543890"/>
        <c:axId val="89001455"/>
      </c:barChart>
      <c:catAx>
        <c:axId val="405438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Versions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89001455"/>
        <c:crosses val="autoZero"/>
        <c:auto val="1"/>
        <c:lblAlgn val="ctr"/>
        <c:lblOffset val="100"/>
        <c:noMultiLvlLbl val="0"/>
      </c:catAx>
      <c:valAx>
        <c:axId val="890014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Heures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405438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DejaVu Sans"/>
              </a:rPr>
              <a:t>Repartition des statuts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stats_globales!$H$3</c:f>
              <c:strCache>
                <c:ptCount val="1"/>
                <c:pt idx="0">
                  <c:v>Statut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stats_globales!$G$4:$G$6</c:f>
              <c:strCache>
                <c:ptCount val="3"/>
                <c:pt idx="0">
                  <c:v/>
                </c:pt>
                <c:pt idx="1">
                  <c:v/>
                </c:pt>
                <c:pt idx="2">
                  <c:v/>
                </c:pt>
              </c:strCache>
            </c:strRef>
          </c:cat>
          <c:val>
            <c:numRef>
              <c:f>stats_globales!$H$4:$H$6</c:f>
              <c:numCache>
                <c:formatCode>General</c:formatCode>
                <c:ptCount val="3"/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DejaVu Sans"/>
              </a:rPr>
              <a:t>Avancement moyen par version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stats_globales!$E$3</c:f>
              <c:strCache>
                <c:ptCount val="1"/>
                <c:pt idx="0">
                  <c:v>Avancement moy.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stats_globales!$A$4:$A$8</c:f>
              <c:strCache>
                <c:ptCount val="5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</c:strCache>
            </c:strRef>
          </c:cat>
          <c:val>
            <c:numRef>
              <c:f>stats_globales!$E$4:$E$8</c:f>
              <c:numCache>
                <c:formatCode>0.0%</c:formatCode>
                <c:ptCount val="5"/>
                <c:pt idx="0">
                  <c:v>1.12006319115324</c:v>
                </c:pt>
                <c:pt idx="1">
                  <c:v>1</c:v>
                </c:pt>
                <c:pt idx="2">
                  <c:v>1.20473157415833</c:v>
                </c:pt>
                <c:pt idx="3">
                  <c:v>1.45016891891892</c:v>
                </c:pt>
                <c:pt idx="4">
                  <c:v>1.14570007107321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118105"/>
        <c:axId val="83624231"/>
      </c:lineChart>
      <c:catAx>
        <c:axId val="321181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Version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83624231"/>
        <c:crosses val="autoZero"/>
        <c:auto val="1"/>
        <c:lblAlgn val="ctr"/>
        <c:lblOffset val="100"/>
        <c:noMultiLvlLbl val="0"/>
      </c:catAx>
      <c:valAx>
        <c:axId val="836242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Avancement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 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321181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Nombre de tâches par version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stats_globales!B3</c:f>
              <c:strCache>
                <c:ptCount val="1"/>
                <c:pt idx="0">
                  <c:v>Nb tâches</c:v>
                </c:pt>
              </c:strCache>
            </c:strRef>
          </c:tx>
          <c:spPr>
            <a:solidFill>
              <a:srgbClr val="2e6da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stats_globales!$A$4:$A$8</c:f>
              <c:strCache>
                <c:ptCount val="5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</c:strCache>
            </c:strRef>
          </c:cat>
          <c:val>
            <c:numRef>
              <c:f>stats_globales!$B$4:$B$8</c:f>
              <c:numCache>
                <c:formatCode>General</c:formatCode>
                <c:ptCount val="5"/>
                <c:pt idx="0">
                  <c:v>15</c:v>
                </c:pt>
                <c:pt idx="1">
                  <c:v>15</c:v>
                </c:pt>
                <c:pt idx="2">
                  <c:v>19</c:v>
                </c:pt>
                <c:pt idx="3">
                  <c:v>14</c:v>
                </c:pt>
                <c:pt idx="4">
                  <c:v>12</c:v>
                </c:pt>
              </c:numCache>
            </c:numRef>
          </c:val>
        </c:ser>
        <c:gapWidth val="150"/>
        <c:overlap val="0"/>
        <c:axId val="1118761"/>
        <c:axId val="70519427"/>
      </c:barChart>
      <c:catAx>
        <c:axId val="11187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Version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0519427"/>
        <c:crosses val="autoZero"/>
        <c:auto val="1"/>
        <c:lblAlgn val="ctr"/>
        <c:lblOffset val="100"/>
        <c:noMultiLvlLbl val="0"/>
      </c:catAx>
      <c:valAx>
        <c:axId val="70519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Nb tâches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1187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Estimation vs Temps passé (h) par version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stats_globales!C3</c:f>
              <c:strCache>
                <c:ptCount val="1"/>
                <c:pt idx="0">
                  <c:v>Estimation (h)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stats_globales!$A$4:$A$8</c:f>
              <c:strCache>
                <c:ptCount val="5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</c:strCache>
            </c:strRef>
          </c:cat>
          <c:val>
            <c:numRef>
              <c:f>stats_globales!$C$4:$C$8</c:f>
              <c:numCache>
                <c:formatCode>General</c:formatCode>
                <c:ptCount val="5"/>
                <c:pt idx="0">
                  <c:v>12.66</c:v>
                </c:pt>
                <c:pt idx="1">
                  <c:v>19.42</c:v>
                </c:pt>
                <c:pt idx="2">
                  <c:v>21.98</c:v>
                </c:pt>
                <c:pt idx="3">
                  <c:v>11.84</c:v>
                </c:pt>
                <c:pt idx="4">
                  <c:v>14.07</c:v>
                </c:pt>
              </c:numCache>
            </c:numRef>
          </c:val>
        </c:ser>
        <c:ser>
          <c:idx val="1"/>
          <c:order val="1"/>
          <c:tx>
            <c:strRef>
              <c:f>stats_globales!D3</c:f>
              <c:strCache>
                <c:ptCount val="1"/>
                <c:pt idx="0">
                  <c:v>Temps passé (h)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stats_globales!$A$4:$A$8</c:f>
              <c:strCache>
                <c:ptCount val="5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</c:strCache>
            </c:strRef>
          </c:cat>
          <c:val>
            <c:numRef>
              <c:f>stats_globales!$D$4:$D$8</c:f>
              <c:numCache>
                <c:formatCode>General</c:formatCode>
                <c:ptCount val="5"/>
                <c:pt idx="0">
                  <c:v>14.18</c:v>
                </c:pt>
                <c:pt idx="1">
                  <c:v>19.42</c:v>
                </c:pt>
                <c:pt idx="2">
                  <c:v>26.48</c:v>
                </c:pt>
                <c:pt idx="3">
                  <c:v>17.17</c:v>
                </c:pt>
                <c:pt idx="4">
                  <c:v>16.12</c:v>
                </c:pt>
              </c:numCache>
            </c:numRef>
          </c:val>
        </c:ser>
        <c:gapWidth val="150"/>
        <c:overlap val="0"/>
        <c:axId val="64268379"/>
        <c:axId val="98004123"/>
      </c:barChart>
      <c:catAx>
        <c:axId val="642683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Version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8004123"/>
        <c:crosses val="autoZero"/>
        <c:auto val="1"/>
        <c:lblAlgn val="ctr"/>
        <c:lblOffset val="100"/>
        <c:noMultiLvlLbl val="0"/>
      </c:catAx>
      <c:valAx>
        <c:axId val="980041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Heures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42683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Répartition des statuts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stats_globales!I3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1e7e34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856404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721c24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stats_globales!$H$4:$H$6</c:f>
              <c:strCache>
                <c:ptCount val="3"/>
                <c:pt idx="0">
                  <c:v>Fait</c:v>
                </c:pt>
                <c:pt idx="1">
                  <c:v>En cours</c:v>
                </c:pt>
                <c:pt idx="2">
                  <c:v>A faire</c:v>
                </c:pt>
              </c:strCache>
            </c:strRef>
          </c:cat>
          <c:val>
            <c:numRef>
              <c:f>stats_globales!$I$4:$I$6</c:f>
              <c:numCache>
                <c:formatCode>General</c:formatCode>
                <c:ptCount val="3"/>
                <c:pt idx="0">
                  <c:v>75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Tâches par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stats_globales!I9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rgbClr val="00838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stats_globales!$H$10:$H$15</c:f>
              <c:strCache>
                <c:ptCount val="6"/>
                <c:pt idx="0">
                  <c:v>Backend</c:v>
                </c:pt>
                <c:pt idx="1">
                  <c:v>Frontend</c:v>
                </c:pt>
                <c:pt idx="2">
                  <c:v>Mobile</c:v>
                </c:pt>
                <c:pt idx="3">
                  <c:v>DevOps</c:v>
                </c:pt>
                <c:pt idx="4">
                  <c:v>QA</c:v>
                </c:pt>
                <c:pt idx="5">
                  <c:v>Doc</c:v>
                </c:pt>
              </c:strCache>
            </c:strRef>
          </c:cat>
          <c:val>
            <c:numRef>
              <c:f>stats_globales!$I$10:$I$15</c:f>
              <c:numCache>
                <c:formatCode>General</c:formatCode>
                <c:ptCount val="6"/>
                <c:pt idx="0">
                  <c:v>32</c:v>
                </c:pt>
                <c:pt idx="1">
                  <c:v>24</c:v>
                </c:pt>
                <c:pt idx="2">
                  <c:v>13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67694288"/>
        <c:axId val="91441201"/>
      </c:barChart>
      <c:catAx>
        <c:axId val="6769428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Nb tâches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1441201"/>
        <c:crosses val="autoZero"/>
        <c:auto val="1"/>
        <c:lblAlgn val="ctr"/>
        <c:lblOffset val="100"/>
        <c:noMultiLvlLbl val="0"/>
      </c:catAx>
      <c:valAx>
        <c:axId val="914412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76942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4</xdr:col>
      <xdr:colOff>308520</xdr:colOff>
      <xdr:row>29</xdr:row>
      <xdr:rowOff>64800</xdr:rowOff>
    </xdr:to>
    <xdr:graphicFrame>
      <xdr:nvGraphicFramePr>
        <xdr:cNvPr id="1" name="Chart 1"/>
        <xdr:cNvGraphicFramePr/>
      </xdr:nvGraphicFramePr>
      <xdr:xfrm>
        <a:off x="0" y="4010040"/>
        <a:ext cx="5101560" cy="2617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12</xdr:col>
      <xdr:colOff>472680</xdr:colOff>
      <xdr:row>29</xdr:row>
      <xdr:rowOff>64800</xdr:rowOff>
    </xdr:to>
    <xdr:graphicFrame>
      <xdr:nvGraphicFramePr>
        <xdr:cNvPr id="2" name="Chart 2"/>
        <xdr:cNvGraphicFramePr/>
      </xdr:nvGraphicFramePr>
      <xdr:xfrm>
        <a:off x="7260120" y="4010040"/>
        <a:ext cx="4514760" cy="2617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285840</xdr:colOff>
      <xdr:row>43</xdr:row>
      <xdr:rowOff>32760</xdr:rowOff>
    </xdr:to>
    <xdr:graphicFrame>
      <xdr:nvGraphicFramePr>
        <xdr:cNvPr id="3" name="Chart 3"/>
        <xdr:cNvGraphicFramePr/>
      </xdr:nvGraphicFramePr>
      <xdr:xfrm>
        <a:off x="0" y="6734160"/>
        <a:ext cx="3951000" cy="21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17</xdr:row>
      <xdr:rowOff>0</xdr:rowOff>
    </xdr:from>
    <xdr:to>
      <xdr:col>4</xdr:col>
      <xdr:colOff>246240</xdr:colOff>
      <xdr:row>38</xdr:row>
      <xdr:rowOff>65520</xdr:rowOff>
    </xdr:to>
    <xdr:graphicFrame>
      <xdr:nvGraphicFramePr>
        <xdr:cNvPr id="4" name="Chart 4"/>
        <xdr:cNvGraphicFramePr/>
      </xdr:nvGraphicFramePr>
      <xdr:xfrm>
        <a:off x="0" y="450540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17</xdr:row>
      <xdr:rowOff>0</xdr:rowOff>
    </xdr:from>
    <xdr:to>
      <xdr:col>11</xdr:col>
      <xdr:colOff>128160</xdr:colOff>
      <xdr:row>38</xdr:row>
      <xdr:rowOff>65520</xdr:rowOff>
    </xdr:to>
    <xdr:graphicFrame>
      <xdr:nvGraphicFramePr>
        <xdr:cNvPr id="5" name="Chart 5"/>
        <xdr:cNvGraphicFramePr/>
      </xdr:nvGraphicFramePr>
      <xdr:xfrm>
        <a:off x="5779800" y="450540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3</xdr:col>
      <xdr:colOff>654120</xdr:colOff>
      <xdr:row>56</xdr:row>
      <xdr:rowOff>37080</xdr:rowOff>
    </xdr:to>
    <xdr:graphicFrame>
      <xdr:nvGraphicFramePr>
        <xdr:cNvPr id="6" name="Chart 6"/>
        <xdr:cNvGraphicFramePr/>
      </xdr:nvGraphicFramePr>
      <xdr:xfrm>
        <a:off x="0" y="7391520"/>
        <a:ext cx="43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0</xdr:colOff>
      <xdr:row>34</xdr:row>
      <xdr:rowOff>0</xdr:rowOff>
    </xdr:from>
    <xdr:to>
      <xdr:col>10</xdr:col>
      <xdr:colOff>19800</xdr:colOff>
      <xdr:row>56</xdr:row>
      <xdr:rowOff>37080</xdr:rowOff>
    </xdr:to>
    <xdr:graphicFrame>
      <xdr:nvGraphicFramePr>
        <xdr:cNvPr id="7" name="Chart 7"/>
        <xdr:cNvGraphicFramePr/>
      </xdr:nvGraphicFramePr>
      <xdr:xfrm>
        <a:off x="5779800" y="7391520"/>
        <a:ext cx="43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32"/>
    <col collapsed="false" customWidth="true" hidden="false" outlineLevel="0" max="4" min="4" style="1" width="40"/>
  </cols>
  <sheetData>
    <row r="1" customFormat="false" ht="31.5" hidden="false" customHeight="true" outlineLevel="0" collapsed="false">
      <c r="A1" s="2" t="s">
        <v>0</v>
      </c>
      <c r="B1" s="2"/>
      <c r="C1" s="2"/>
      <c r="D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</row>
    <row r="3" customFormat="false" ht="19.5" hidden="false" customHeight="true" outlineLevel="0" collapsed="false">
      <c r="A3" s="4" t="s">
        <v>5</v>
      </c>
      <c r="B3" s="4" t="s">
        <v>6</v>
      </c>
      <c r="C3" s="4" t="s">
        <v>7</v>
      </c>
      <c r="D3" s="4" t="s">
        <v>8</v>
      </c>
    </row>
    <row r="4" customFormat="false" ht="19.5" hidden="false" customHeight="true" outlineLevel="0" collapsed="false">
      <c r="A4" s="5" t="s">
        <v>5</v>
      </c>
      <c r="B4" s="5" t="s">
        <v>9</v>
      </c>
      <c r="C4" s="5" t="s">
        <v>10</v>
      </c>
      <c r="D4" s="4" t="s">
        <v>8</v>
      </c>
    </row>
    <row r="5" customFormat="false" ht="19.5" hidden="false" customHeight="true" outlineLevel="0" collapsed="false">
      <c r="A5" s="4" t="s">
        <v>5</v>
      </c>
      <c r="B5" s="4" t="s">
        <v>11</v>
      </c>
      <c r="C5" s="4" t="s">
        <v>12</v>
      </c>
      <c r="D5" s="4" t="s">
        <v>8</v>
      </c>
    </row>
    <row r="6" customFormat="false" ht="19.5" hidden="false" customHeight="true" outlineLevel="0" collapsed="false">
      <c r="A6" s="5" t="s">
        <v>5</v>
      </c>
      <c r="B6" s="5" t="s">
        <v>13</v>
      </c>
      <c r="C6" s="5" t="s">
        <v>14</v>
      </c>
      <c r="D6" s="4" t="s">
        <v>8</v>
      </c>
    </row>
    <row r="7" customFormat="false" ht="12.75" hidden="false" customHeight="true" outlineLevel="0" collapsed="false">
      <c r="A7" s="1" t="s">
        <v>15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0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pane xSplit="0" ySplit="2" topLeftCell="A23" activePane="bottomLeft" state="frozen"/>
      <selection pane="topLeft" activeCell="F1" activeCellId="0" sqref="F1"/>
      <selection pane="bottomLeft" activeCell="F15" activeCellId="0" sqref="F15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25"/>
    <col collapsed="false" customWidth="true" hidden="false" outlineLevel="0" max="6" min="6" style="1" width="70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10"/>
    <col collapsed="false" customWidth="true" hidden="false" outlineLevel="0" max="11" min="10" style="1" width="12"/>
    <col collapsed="false" customWidth="true" hidden="false" outlineLevel="0" max="15" min="12" style="1" width="10"/>
  </cols>
  <sheetData>
    <row r="1" customFormat="false" ht="31.5" hidden="false" customHeight="true" outlineLevel="0" collapsed="false">
      <c r="A1" s="6" t="s">
        <v>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24.75" hidden="false" customHeight="true" outlineLevel="0" collapsed="false">
      <c r="A2" s="7" t="s">
        <v>17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27</v>
      </c>
      <c r="L2" s="7" t="s">
        <v>28</v>
      </c>
      <c r="M2" s="7" t="s">
        <v>29</v>
      </c>
      <c r="N2" s="7" t="s">
        <v>30</v>
      </c>
      <c r="O2" s="7" t="s">
        <v>31</v>
      </c>
    </row>
    <row r="3" customFormat="false" ht="30" hidden="false" customHeight="true" outlineLevel="0" collapsed="false">
      <c r="A3" s="8" t="n">
        <v>1</v>
      </c>
      <c r="B3" s="9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5</v>
      </c>
      <c r="I3" s="10" t="s">
        <v>38</v>
      </c>
      <c r="J3" s="10" t="n">
        <v>1.5</v>
      </c>
      <c r="K3" s="10" t="n">
        <f aca="false">3</f>
        <v>3</v>
      </c>
      <c r="L3" s="10" t="n">
        <f aca="false">-1.5</f>
        <v>-1.5</v>
      </c>
      <c r="M3" s="11" t="n">
        <f aca="false">100%</f>
        <v>1</v>
      </c>
      <c r="N3" s="12" t="s">
        <v>39</v>
      </c>
      <c r="O3" s="13" t="s">
        <v>40</v>
      </c>
    </row>
    <row r="4" customFormat="false" ht="30" hidden="false" customHeight="true" outlineLevel="0" collapsed="false">
      <c r="A4" s="14" t="n">
        <v>2</v>
      </c>
      <c r="B4" s="9" t="s">
        <v>32</v>
      </c>
      <c r="C4" s="5" t="s">
        <v>33</v>
      </c>
      <c r="D4" s="5" t="s">
        <v>41</v>
      </c>
      <c r="E4" s="5" t="s">
        <v>42</v>
      </c>
      <c r="F4" s="5" t="s">
        <v>43</v>
      </c>
      <c r="G4" s="5" t="s">
        <v>37</v>
      </c>
      <c r="H4" s="5" t="s">
        <v>5</v>
      </c>
      <c r="I4" s="15" t="s">
        <v>44</v>
      </c>
      <c r="J4" s="15" t="n">
        <v>2</v>
      </c>
      <c r="K4" s="15" t="n">
        <f aca="false">detail_avancement!B3</f>
        <v>2</v>
      </c>
      <c r="L4" s="15" t="n">
        <f aca="false">J3-K3</f>
        <v>-1.5</v>
      </c>
      <c r="M4" s="16" t="n">
        <f aca="false">IF(J3=0,0,K3/J3)</f>
        <v>2</v>
      </c>
      <c r="N4" s="12" t="s">
        <v>39</v>
      </c>
      <c r="O4" s="13" t="s">
        <v>40</v>
      </c>
    </row>
    <row r="5" customFormat="false" ht="30" hidden="false" customHeight="true" outlineLevel="0" collapsed="false">
      <c r="A5" s="8" t="n">
        <v>3</v>
      </c>
      <c r="B5" s="9" t="s">
        <v>32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</v>
      </c>
      <c r="I5" s="10" t="s">
        <v>50</v>
      </c>
      <c r="J5" s="10" t="n">
        <v>0.33</v>
      </c>
      <c r="K5" s="10" t="n">
        <f aca="false">detail_avancement!B4</f>
        <v>0.34</v>
      </c>
      <c r="L5" s="10" t="n">
        <f aca="false">J4-K4</f>
        <v>0</v>
      </c>
      <c r="M5" s="11" t="n">
        <f aca="false">IF(J4=0,0,K4/J4)</f>
        <v>1</v>
      </c>
      <c r="N5" s="12" t="s">
        <v>39</v>
      </c>
      <c r="O5" s="13" t="s">
        <v>40</v>
      </c>
    </row>
    <row r="6" customFormat="false" ht="30" hidden="false" customHeight="true" outlineLevel="0" collapsed="false">
      <c r="A6" s="14" t="n">
        <v>4</v>
      </c>
      <c r="B6" s="9" t="s">
        <v>32</v>
      </c>
      <c r="C6" s="5" t="s">
        <v>45</v>
      </c>
      <c r="D6" s="5" t="s">
        <v>46</v>
      </c>
      <c r="E6" s="5" t="s">
        <v>47</v>
      </c>
      <c r="F6" s="5" t="s">
        <v>51</v>
      </c>
      <c r="G6" s="5" t="s">
        <v>49</v>
      </c>
      <c r="H6" s="5" t="s">
        <v>5</v>
      </c>
      <c r="I6" s="15" t="s">
        <v>52</v>
      </c>
      <c r="J6" s="15" t="n">
        <v>0.75</v>
      </c>
      <c r="K6" s="15" t="n">
        <f aca="false">detail_avancement!B5</f>
        <v>0.76</v>
      </c>
      <c r="L6" s="15" t="n">
        <f aca="false">J5-K5</f>
        <v>-0.01</v>
      </c>
      <c r="M6" s="16" t="n">
        <f aca="false">IF(J5=0,0,K5/J5)</f>
        <v>1.03030303030303</v>
      </c>
      <c r="N6" s="12" t="s">
        <v>39</v>
      </c>
      <c r="O6" s="13" t="s">
        <v>40</v>
      </c>
    </row>
    <row r="7" customFormat="false" ht="30" hidden="false" customHeight="true" outlineLevel="0" collapsed="false">
      <c r="A7" s="8" t="n">
        <v>5</v>
      </c>
      <c r="B7" s="9" t="s">
        <v>32</v>
      </c>
      <c r="C7" s="4" t="s">
        <v>45</v>
      </c>
      <c r="D7" s="4" t="s">
        <v>46</v>
      </c>
      <c r="E7" s="4" t="s">
        <v>47</v>
      </c>
      <c r="F7" s="4" t="s">
        <v>53</v>
      </c>
      <c r="G7" s="4" t="s">
        <v>49</v>
      </c>
      <c r="H7" s="4" t="s">
        <v>5</v>
      </c>
      <c r="I7" s="10" t="s">
        <v>54</v>
      </c>
      <c r="J7" s="10" t="n">
        <v>0.5</v>
      </c>
      <c r="K7" s="10" t="n">
        <f aca="false">detail_avancement!B6</f>
        <v>0.5</v>
      </c>
      <c r="L7" s="10" t="n">
        <f aca="false">J6-K6</f>
        <v>-0.01</v>
      </c>
      <c r="M7" s="11" t="n">
        <f aca="false">IF(J6=0,0,K6/J6)</f>
        <v>1.01333333333333</v>
      </c>
      <c r="N7" s="12" t="s">
        <v>39</v>
      </c>
      <c r="O7" s="13" t="s">
        <v>40</v>
      </c>
    </row>
    <row r="8" customFormat="false" ht="30" hidden="false" customHeight="true" outlineLevel="0" collapsed="false">
      <c r="A8" s="14" t="n">
        <v>6</v>
      </c>
      <c r="B8" s="9" t="s">
        <v>32</v>
      </c>
      <c r="C8" s="5" t="s">
        <v>45</v>
      </c>
      <c r="D8" s="5" t="s">
        <v>46</v>
      </c>
      <c r="E8" s="5" t="s">
        <v>47</v>
      </c>
      <c r="F8" s="5" t="s">
        <v>55</v>
      </c>
      <c r="G8" s="5" t="s">
        <v>49</v>
      </c>
      <c r="H8" s="5" t="s">
        <v>5</v>
      </c>
      <c r="I8" s="15" t="s">
        <v>56</v>
      </c>
      <c r="J8" s="15" t="n">
        <v>0.42</v>
      </c>
      <c r="K8" s="15" t="n">
        <f aca="false">detail_avancement!B7</f>
        <v>0.42</v>
      </c>
      <c r="L8" s="15" t="n">
        <f aca="false">J7-K7</f>
        <v>0</v>
      </c>
      <c r="M8" s="16" t="n">
        <f aca="false">IF(J7=0,0,K7/J7)</f>
        <v>1</v>
      </c>
      <c r="N8" s="12" t="s">
        <v>39</v>
      </c>
      <c r="O8" s="13" t="s">
        <v>40</v>
      </c>
    </row>
    <row r="9" customFormat="false" ht="30" hidden="false" customHeight="true" outlineLevel="0" collapsed="false">
      <c r="A9" s="8" t="n">
        <v>7</v>
      </c>
      <c r="B9" s="9" t="s">
        <v>32</v>
      </c>
      <c r="C9" s="4" t="s">
        <v>45</v>
      </c>
      <c r="D9" s="4" t="s">
        <v>57</v>
      </c>
      <c r="E9" s="4" t="s">
        <v>47</v>
      </c>
      <c r="F9" s="4" t="s">
        <v>58</v>
      </c>
      <c r="G9" s="4" t="s">
        <v>49</v>
      </c>
      <c r="H9" s="4" t="s">
        <v>5</v>
      </c>
      <c r="I9" s="10" t="s">
        <v>59</v>
      </c>
      <c r="J9" s="10" t="n">
        <v>0.25</v>
      </c>
      <c r="K9" s="10" t="n">
        <f aca="false">detail_avancement!B8</f>
        <v>0.24</v>
      </c>
      <c r="L9" s="10" t="n">
        <f aca="false">J8-K8</f>
        <v>0</v>
      </c>
      <c r="M9" s="11" t="n">
        <f aca="false">IF(J8=0,0,K8/J8)</f>
        <v>1</v>
      </c>
      <c r="N9" s="12" t="s">
        <v>39</v>
      </c>
      <c r="O9" s="13" t="s">
        <v>40</v>
      </c>
    </row>
    <row r="10" customFormat="false" ht="30" hidden="false" customHeight="true" outlineLevel="0" collapsed="false">
      <c r="A10" s="14" t="n">
        <v>8</v>
      </c>
      <c r="B10" s="9" t="s">
        <v>32</v>
      </c>
      <c r="C10" s="5" t="s">
        <v>45</v>
      </c>
      <c r="D10" s="5" t="s">
        <v>57</v>
      </c>
      <c r="E10" s="5" t="s">
        <v>47</v>
      </c>
      <c r="F10" s="5" t="s">
        <v>60</v>
      </c>
      <c r="G10" s="5" t="s">
        <v>49</v>
      </c>
      <c r="H10" s="5" t="s">
        <v>5</v>
      </c>
      <c r="I10" s="15" t="s">
        <v>50</v>
      </c>
      <c r="J10" s="15" t="n">
        <v>0.33</v>
      </c>
      <c r="K10" s="15" t="n">
        <f aca="false">detail_avancement!B9</f>
        <v>0.34</v>
      </c>
      <c r="L10" s="15" t="n">
        <f aca="false">J9-K9</f>
        <v>0.01</v>
      </c>
      <c r="M10" s="16" t="n">
        <f aca="false">IF(J9=0,0,K9/J9)</f>
        <v>0.96</v>
      </c>
      <c r="N10" s="12" t="s">
        <v>39</v>
      </c>
      <c r="O10" s="13" t="s">
        <v>40</v>
      </c>
    </row>
    <row r="11" customFormat="false" ht="30" hidden="false" customHeight="true" outlineLevel="0" collapsed="false">
      <c r="A11" s="8" t="n">
        <v>9</v>
      </c>
      <c r="B11" s="9" t="s">
        <v>32</v>
      </c>
      <c r="C11" s="4" t="s">
        <v>61</v>
      </c>
      <c r="D11" s="4" t="s">
        <v>62</v>
      </c>
      <c r="E11" s="4" t="s">
        <v>63</v>
      </c>
      <c r="F11" s="4" t="s">
        <v>64</v>
      </c>
      <c r="G11" s="4" t="s">
        <v>49</v>
      </c>
      <c r="H11" s="4" t="s">
        <v>5</v>
      </c>
      <c r="I11" s="10" t="s">
        <v>65</v>
      </c>
      <c r="J11" s="10" t="n">
        <v>1</v>
      </c>
      <c r="K11" s="10" t="n">
        <f aca="false">detail_avancement!B10</f>
        <v>1</v>
      </c>
      <c r="L11" s="10" t="n">
        <f aca="false">J10-K10</f>
        <v>-0.01</v>
      </c>
      <c r="M11" s="11" t="n">
        <f aca="false">IF(J10=0,0,K10/J10)</f>
        <v>1.03030303030303</v>
      </c>
      <c r="N11" s="12" t="s">
        <v>39</v>
      </c>
      <c r="O11" s="13" t="s">
        <v>40</v>
      </c>
    </row>
    <row r="12" customFormat="false" ht="30" hidden="false" customHeight="true" outlineLevel="0" collapsed="false">
      <c r="A12" s="14" t="n">
        <v>10</v>
      </c>
      <c r="B12" s="9" t="s">
        <v>32</v>
      </c>
      <c r="C12" s="5" t="s">
        <v>61</v>
      </c>
      <c r="D12" s="5" t="s">
        <v>62</v>
      </c>
      <c r="E12" s="5" t="s">
        <v>66</v>
      </c>
      <c r="F12" s="5" t="s">
        <v>67</v>
      </c>
      <c r="G12" s="5" t="s">
        <v>49</v>
      </c>
      <c r="H12" s="5" t="s">
        <v>5</v>
      </c>
      <c r="I12" s="15" t="s">
        <v>38</v>
      </c>
      <c r="J12" s="15" t="n">
        <v>1.5</v>
      </c>
      <c r="K12" s="15" t="n">
        <f aca="false">detail_avancement!B11</f>
        <v>1.5</v>
      </c>
      <c r="L12" s="15" t="n">
        <f aca="false">J11-K11</f>
        <v>0</v>
      </c>
      <c r="M12" s="16" t="n">
        <f aca="false">IF(J11=0,0,K11/J11)</f>
        <v>1</v>
      </c>
      <c r="N12" s="12" t="s">
        <v>39</v>
      </c>
      <c r="O12" s="13" t="s">
        <v>40</v>
      </c>
    </row>
    <row r="13" customFormat="false" ht="30" hidden="false" customHeight="true" outlineLevel="0" collapsed="false">
      <c r="A13" s="8" t="n">
        <v>11</v>
      </c>
      <c r="B13" s="9" t="s">
        <v>32</v>
      </c>
      <c r="C13" s="4" t="s">
        <v>61</v>
      </c>
      <c r="D13" s="4" t="s">
        <v>68</v>
      </c>
      <c r="E13" s="4" t="s">
        <v>69</v>
      </c>
      <c r="F13" s="4" t="s">
        <v>70</v>
      </c>
      <c r="G13" s="4" t="s">
        <v>49</v>
      </c>
      <c r="H13" s="4" t="s">
        <v>5</v>
      </c>
      <c r="I13" s="10" t="s">
        <v>71</v>
      </c>
      <c r="J13" s="10" t="n">
        <v>0.83</v>
      </c>
      <c r="K13" s="10" t="n">
        <f aca="false">detail_avancement!B12</f>
        <v>0.82</v>
      </c>
      <c r="L13" s="10" t="n">
        <f aca="false">J12-K12</f>
        <v>0</v>
      </c>
      <c r="M13" s="11" t="n">
        <f aca="false">IF(J12=0,0,K12/J12)</f>
        <v>1</v>
      </c>
      <c r="N13" s="12" t="s">
        <v>39</v>
      </c>
      <c r="O13" s="13" t="s">
        <v>40</v>
      </c>
    </row>
    <row r="14" customFormat="false" ht="30" hidden="false" customHeight="true" outlineLevel="0" collapsed="false">
      <c r="A14" s="14" t="n">
        <v>12</v>
      </c>
      <c r="B14" s="9" t="s">
        <v>32</v>
      </c>
      <c r="C14" s="5" t="s">
        <v>61</v>
      </c>
      <c r="D14" s="5" t="s">
        <v>68</v>
      </c>
      <c r="E14" s="5" t="s">
        <v>69</v>
      </c>
      <c r="F14" s="5" t="s">
        <v>72</v>
      </c>
      <c r="G14" s="5" t="s">
        <v>49</v>
      </c>
      <c r="H14" s="5" t="s">
        <v>5</v>
      </c>
      <c r="I14" s="15" t="s">
        <v>65</v>
      </c>
      <c r="J14" s="15" t="n">
        <v>1</v>
      </c>
      <c r="K14" s="15" t="n">
        <f aca="false">detail_avancement!B13</f>
        <v>1</v>
      </c>
      <c r="L14" s="15" t="n">
        <f aca="false">J13-K13</f>
        <v>0.01</v>
      </c>
      <c r="M14" s="16" t="n">
        <f aca="false">IF(J13=0,0,K13/J13)</f>
        <v>0.987951807228916</v>
      </c>
      <c r="N14" s="12" t="s">
        <v>39</v>
      </c>
      <c r="O14" s="13" t="s">
        <v>40</v>
      </c>
    </row>
    <row r="15" customFormat="false" ht="30" hidden="false" customHeight="true" outlineLevel="0" collapsed="false">
      <c r="A15" s="8" t="n">
        <v>13</v>
      </c>
      <c r="B15" s="9" t="s">
        <v>32</v>
      </c>
      <c r="C15" s="4" t="s">
        <v>61</v>
      </c>
      <c r="D15" s="4" t="s">
        <v>62</v>
      </c>
      <c r="E15" s="4" t="s">
        <v>73</v>
      </c>
      <c r="F15" s="4" t="s">
        <v>74</v>
      </c>
      <c r="G15" s="4" t="s">
        <v>49</v>
      </c>
      <c r="H15" s="4" t="s">
        <v>5</v>
      </c>
      <c r="I15" s="10" t="s">
        <v>75</v>
      </c>
      <c r="J15" s="10" t="n">
        <v>0.67</v>
      </c>
      <c r="K15" s="10" t="n">
        <f aca="false">detail_avancement!B14</f>
        <v>0.68</v>
      </c>
      <c r="L15" s="10" t="n">
        <f aca="false">J14-K14</f>
        <v>0</v>
      </c>
      <c r="M15" s="11" t="n">
        <f aca="false">IF(J14=0,0,K14/J14)</f>
        <v>1</v>
      </c>
      <c r="N15" s="12" t="s">
        <v>39</v>
      </c>
      <c r="O15" s="13" t="s">
        <v>40</v>
      </c>
    </row>
    <row r="16" customFormat="false" ht="30" hidden="false" customHeight="true" outlineLevel="0" collapsed="false">
      <c r="A16" s="14" t="n">
        <v>14</v>
      </c>
      <c r="B16" s="9" t="s">
        <v>32</v>
      </c>
      <c r="C16" s="5" t="s">
        <v>61</v>
      </c>
      <c r="D16" s="5" t="s">
        <v>62</v>
      </c>
      <c r="E16" s="5" t="s">
        <v>76</v>
      </c>
      <c r="F16" s="5" t="s">
        <v>77</v>
      </c>
      <c r="G16" s="5" t="s">
        <v>49</v>
      </c>
      <c r="H16" s="5" t="s">
        <v>5</v>
      </c>
      <c r="I16" s="15" t="s">
        <v>65</v>
      </c>
      <c r="J16" s="15" t="n">
        <v>1</v>
      </c>
      <c r="K16" s="15" t="n">
        <f aca="false">detail_avancement!B15</f>
        <v>1</v>
      </c>
      <c r="L16" s="15" t="n">
        <f aca="false">J15-K15</f>
        <v>-0.01</v>
      </c>
      <c r="M16" s="16" t="n">
        <f aca="false">IF(J15=0,0,K15/J15)</f>
        <v>1.01492537313433</v>
      </c>
      <c r="N16" s="12" t="s">
        <v>39</v>
      </c>
      <c r="O16" s="13" t="s">
        <v>40</v>
      </c>
    </row>
    <row r="17" customFormat="false" ht="30" hidden="false" customHeight="true" outlineLevel="0" collapsed="false">
      <c r="A17" s="8" t="n">
        <v>15</v>
      </c>
      <c r="B17" s="9" t="s">
        <v>32</v>
      </c>
      <c r="C17" s="4" t="s">
        <v>78</v>
      </c>
      <c r="D17" s="4" t="s">
        <v>79</v>
      </c>
      <c r="E17" s="4" t="s">
        <v>80</v>
      </c>
      <c r="F17" s="4" t="s">
        <v>81</v>
      </c>
      <c r="G17" s="4" t="s">
        <v>49</v>
      </c>
      <c r="H17" s="4" t="s">
        <v>5</v>
      </c>
      <c r="I17" s="10" t="s">
        <v>82</v>
      </c>
      <c r="J17" s="10" t="n">
        <v>0.58</v>
      </c>
      <c r="K17" s="10" t="n">
        <f aca="false">detail_avancement!B16</f>
        <v>0.58</v>
      </c>
      <c r="L17" s="10" t="n">
        <f aca="false">J16-K16</f>
        <v>0</v>
      </c>
      <c r="M17" s="11" t="n">
        <f aca="false">IF(J16=0,0,K16/J16)</f>
        <v>1</v>
      </c>
      <c r="N17" s="12" t="s">
        <v>39</v>
      </c>
      <c r="O17" s="13" t="s">
        <v>40</v>
      </c>
    </row>
    <row r="18" customFormat="false" ht="30" hidden="false" customHeight="true" outlineLevel="0" collapsed="false">
      <c r="A18" s="14" t="n">
        <v>16</v>
      </c>
      <c r="B18" s="17" t="s">
        <v>83</v>
      </c>
      <c r="C18" s="5" t="s">
        <v>84</v>
      </c>
      <c r="D18" s="5" t="s">
        <v>85</v>
      </c>
      <c r="E18" s="5" t="s">
        <v>86</v>
      </c>
      <c r="F18" s="5" t="s">
        <v>87</v>
      </c>
      <c r="G18" s="5" t="s">
        <v>88</v>
      </c>
      <c r="H18" s="5" t="s">
        <v>5</v>
      </c>
      <c r="I18" s="15" t="s">
        <v>44</v>
      </c>
      <c r="J18" s="15" t="n">
        <v>2</v>
      </c>
      <c r="K18" s="15" t="n">
        <f aca="false">detail_avancement!B17</f>
        <v>2</v>
      </c>
      <c r="L18" s="15" t="n">
        <f aca="false">J17-K17</f>
        <v>0</v>
      </c>
      <c r="M18" s="16" t="n">
        <f aca="false">IF(J17=0,0,K17/J17)</f>
        <v>1</v>
      </c>
      <c r="N18" s="12" t="s">
        <v>39</v>
      </c>
      <c r="O18" s="13" t="s">
        <v>40</v>
      </c>
    </row>
    <row r="19" customFormat="false" ht="30" hidden="false" customHeight="true" outlineLevel="0" collapsed="false">
      <c r="A19" s="8" t="n">
        <v>17</v>
      </c>
      <c r="B19" s="17" t="s">
        <v>83</v>
      </c>
      <c r="C19" s="4" t="s">
        <v>84</v>
      </c>
      <c r="D19" s="4" t="s">
        <v>89</v>
      </c>
      <c r="E19" s="4" t="s">
        <v>90</v>
      </c>
      <c r="F19" s="4" t="s">
        <v>91</v>
      </c>
      <c r="G19" s="4" t="s">
        <v>49</v>
      </c>
      <c r="H19" s="4" t="s">
        <v>5</v>
      </c>
      <c r="I19" s="10" t="s">
        <v>92</v>
      </c>
      <c r="J19" s="10" t="n">
        <v>1.33</v>
      </c>
      <c r="K19" s="10" t="n">
        <f aca="false">detail_avancement!B18</f>
        <v>1.34</v>
      </c>
      <c r="L19" s="10" t="n">
        <f aca="false">J18-K18</f>
        <v>0</v>
      </c>
      <c r="M19" s="11" t="n">
        <f aca="false">IF(J18=0,0,K18/J18)</f>
        <v>1</v>
      </c>
      <c r="N19" s="12" t="s">
        <v>39</v>
      </c>
      <c r="O19" s="13" t="s">
        <v>40</v>
      </c>
    </row>
    <row r="20" customFormat="false" ht="30" hidden="false" customHeight="true" outlineLevel="0" collapsed="false">
      <c r="A20" s="14" t="n">
        <v>18</v>
      </c>
      <c r="B20" s="17" t="s">
        <v>83</v>
      </c>
      <c r="C20" s="5" t="s">
        <v>84</v>
      </c>
      <c r="D20" s="5" t="s">
        <v>93</v>
      </c>
      <c r="E20" s="5" t="s">
        <v>94</v>
      </c>
      <c r="F20" s="5" t="s">
        <v>95</v>
      </c>
      <c r="G20" s="5" t="s">
        <v>96</v>
      </c>
      <c r="H20" s="5" t="s">
        <v>5</v>
      </c>
      <c r="I20" s="15" t="s">
        <v>65</v>
      </c>
      <c r="J20" s="15" t="n">
        <v>1</v>
      </c>
      <c r="K20" s="15" t="n">
        <f aca="false">detail_avancement!B19</f>
        <v>1</v>
      </c>
      <c r="L20" s="15" t="n">
        <f aca="false">J19-K19</f>
        <v>-0.01</v>
      </c>
      <c r="M20" s="16" t="n">
        <f aca="false">IF(J19=0,0,K19/J19)</f>
        <v>1.00751879699248</v>
      </c>
      <c r="N20" s="12" t="s">
        <v>39</v>
      </c>
      <c r="O20" s="13" t="s">
        <v>40</v>
      </c>
    </row>
    <row r="21" customFormat="false" ht="30" hidden="false" customHeight="true" outlineLevel="0" collapsed="false">
      <c r="A21" s="8" t="n">
        <v>19</v>
      </c>
      <c r="B21" s="17" t="s">
        <v>83</v>
      </c>
      <c r="C21" s="4" t="s">
        <v>84</v>
      </c>
      <c r="D21" s="4" t="s">
        <v>97</v>
      </c>
      <c r="E21" s="4" t="s">
        <v>98</v>
      </c>
      <c r="F21" s="4" t="s">
        <v>99</v>
      </c>
      <c r="G21" s="4" t="s">
        <v>49</v>
      </c>
      <c r="H21" s="4" t="s">
        <v>5</v>
      </c>
      <c r="I21" s="10" t="s">
        <v>65</v>
      </c>
      <c r="J21" s="10" t="n">
        <v>1</v>
      </c>
      <c r="K21" s="10" t="n">
        <f aca="false">detail_avancement!B20</f>
        <v>1</v>
      </c>
      <c r="L21" s="10" t="n">
        <f aca="false">J20-K20</f>
        <v>0</v>
      </c>
      <c r="M21" s="11" t="n">
        <f aca="false">IF(J20=0,0,K20/J20)</f>
        <v>1</v>
      </c>
      <c r="N21" s="12" t="s">
        <v>39</v>
      </c>
      <c r="O21" s="13" t="s">
        <v>40</v>
      </c>
    </row>
    <row r="22" customFormat="false" ht="30" hidden="false" customHeight="true" outlineLevel="0" collapsed="false">
      <c r="A22" s="14" t="n">
        <v>20</v>
      </c>
      <c r="B22" s="17" t="s">
        <v>83</v>
      </c>
      <c r="C22" s="5" t="s">
        <v>100</v>
      </c>
      <c r="D22" s="5" t="s">
        <v>101</v>
      </c>
      <c r="E22" s="5" t="s">
        <v>102</v>
      </c>
      <c r="F22" s="5" t="s">
        <v>103</v>
      </c>
      <c r="G22" s="5" t="s">
        <v>96</v>
      </c>
      <c r="H22" s="5" t="s">
        <v>5</v>
      </c>
      <c r="I22" s="15" t="s">
        <v>38</v>
      </c>
      <c r="J22" s="15" t="n">
        <v>1.5</v>
      </c>
      <c r="K22" s="15" t="n">
        <f aca="false">detail_avancement!B21</f>
        <v>1.5</v>
      </c>
      <c r="L22" s="15" t="n">
        <f aca="false">J21-K21</f>
        <v>0</v>
      </c>
      <c r="M22" s="16" t="n">
        <f aca="false">IF(J21=0,0,K21/J21)</f>
        <v>1</v>
      </c>
      <c r="N22" s="12" t="s">
        <v>39</v>
      </c>
      <c r="O22" s="13" t="s">
        <v>40</v>
      </c>
    </row>
    <row r="23" customFormat="false" ht="30" hidden="false" customHeight="true" outlineLevel="0" collapsed="false">
      <c r="A23" s="8" t="n">
        <v>21</v>
      </c>
      <c r="B23" s="17" t="s">
        <v>83</v>
      </c>
      <c r="C23" s="4" t="s">
        <v>100</v>
      </c>
      <c r="D23" s="4" t="s">
        <v>101</v>
      </c>
      <c r="E23" s="4" t="s">
        <v>104</v>
      </c>
      <c r="F23" s="4" t="s">
        <v>105</v>
      </c>
      <c r="G23" s="4" t="s">
        <v>96</v>
      </c>
      <c r="H23" s="4" t="s">
        <v>5</v>
      </c>
      <c r="I23" s="10" t="s">
        <v>44</v>
      </c>
      <c r="J23" s="10" t="n">
        <v>2</v>
      </c>
      <c r="K23" s="10" t="n">
        <f aca="false">detail_avancement!B22</f>
        <v>2</v>
      </c>
      <c r="L23" s="10" t="n">
        <f aca="false">J22-K22</f>
        <v>0</v>
      </c>
      <c r="M23" s="11" t="n">
        <f aca="false">IF(J22=0,0,K22/J22)</f>
        <v>1</v>
      </c>
      <c r="N23" s="12" t="s">
        <v>39</v>
      </c>
      <c r="O23" s="13" t="s">
        <v>40</v>
      </c>
    </row>
    <row r="24" customFormat="false" ht="30" hidden="false" customHeight="true" outlineLevel="0" collapsed="false">
      <c r="A24" s="14" t="n">
        <v>22</v>
      </c>
      <c r="B24" s="17" t="s">
        <v>83</v>
      </c>
      <c r="C24" s="5" t="s">
        <v>100</v>
      </c>
      <c r="D24" s="5" t="s">
        <v>101</v>
      </c>
      <c r="E24" s="5" t="s">
        <v>106</v>
      </c>
      <c r="F24" s="5" t="s">
        <v>107</v>
      </c>
      <c r="G24" s="5" t="s">
        <v>96</v>
      </c>
      <c r="H24" s="5" t="s">
        <v>5</v>
      </c>
      <c r="I24" s="15" t="s">
        <v>108</v>
      </c>
      <c r="J24" s="15" t="n">
        <v>1.17</v>
      </c>
      <c r="K24" s="15" t="n">
        <f aca="false">detail_avancement!B23</f>
        <v>1.16</v>
      </c>
      <c r="L24" s="15" t="n">
        <f aca="false">J23-K23</f>
        <v>0</v>
      </c>
      <c r="M24" s="16" t="n">
        <f aca="false">IF(J23=0,0,K23/J23)</f>
        <v>1</v>
      </c>
      <c r="N24" s="12" t="s">
        <v>39</v>
      </c>
      <c r="O24" s="13" t="s">
        <v>40</v>
      </c>
    </row>
    <row r="25" customFormat="false" ht="30" hidden="false" customHeight="true" outlineLevel="0" collapsed="false">
      <c r="A25" s="8" t="n">
        <v>23</v>
      </c>
      <c r="B25" s="17" t="s">
        <v>83</v>
      </c>
      <c r="C25" s="4" t="s">
        <v>100</v>
      </c>
      <c r="D25" s="4" t="s">
        <v>109</v>
      </c>
      <c r="E25" s="4" t="s">
        <v>110</v>
      </c>
      <c r="F25" s="4" t="s">
        <v>111</v>
      </c>
      <c r="G25" s="4" t="s">
        <v>96</v>
      </c>
      <c r="H25" s="4" t="s">
        <v>5</v>
      </c>
      <c r="I25" s="10" t="s">
        <v>65</v>
      </c>
      <c r="J25" s="10" t="n">
        <v>1</v>
      </c>
      <c r="K25" s="10" t="n">
        <f aca="false">detail_avancement!B24</f>
        <v>1</v>
      </c>
      <c r="L25" s="10" t="n">
        <f aca="false">J24-K24</f>
        <v>0.01</v>
      </c>
      <c r="M25" s="11" t="n">
        <f aca="false">IF(J24=0,0,K24/J24)</f>
        <v>0.991452991452992</v>
      </c>
      <c r="N25" s="12" t="s">
        <v>39</v>
      </c>
      <c r="O25" s="13" t="s">
        <v>40</v>
      </c>
    </row>
    <row r="26" customFormat="false" ht="30" hidden="false" customHeight="true" outlineLevel="0" collapsed="false">
      <c r="A26" s="14" t="n">
        <v>24</v>
      </c>
      <c r="B26" s="17" t="s">
        <v>83</v>
      </c>
      <c r="C26" s="5" t="s">
        <v>100</v>
      </c>
      <c r="D26" s="5" t="s">
        <v>109</v>
      </c>
      <c r="E26" s="5" t="s">
        <v>112</v>
      </c>
      <c r="F26" s="5" t="s">
        <v>113</v>
      </c>
      <c r="G26" s="5" t="s">
        <v>96</v>
      </c>
      <c r="H26" s="5" t="s">
        <v>5</v>
      </c>
      <c r="I26" s="15" t="s">
        <v>114</v>
      </c>
      <c r="J26" s="15" t="n">
        <v>1.67</v>
      </c>
      <c r="K26" s="15" t="n">
        <f aca="false">detail_avancement!B25</f>
        <v>1.66</v>
      </c>
      <c r="L26" s="15" t="n">
        <f aca="false">J25-K25</f>
        <v>0</v>
      </c>
      <c r="M26" s="16" t="n">
        <f aca="false">IF(J25=0,0,K25/J25)</f>
        <v>1</v>
      </c>
      <c r="N26" s="12" t="s">
        <v>39</v>
      </c>
      <c r="O26" s="13" t="s">
        <v>40</v>
      </c>
    </row>
    <row r="27" customFormat="false" ht="30" hidden="false" customHeight="true" outlineLevel="0" collapsed="false">
      <c r="A27" s="8" t="n">
        <v>25</v>
      </c>
      <c r="B27" s="17" t="s">
        <v>83</v>
      </c>
      <c r="C27" s="4" t="s">
        <v>100</v>
      </c>
      <c r="D27" s="4" t="s">
        <v>109</v>
      </c>
      <c r="E27" s="4" t="s">
        <v>115</v>
      </c>
      <c r="F27" s="4" t="s">
        <v>116</v>
      </c>
      <c r="G27" s="4" t="s">
        <v>96</v>
      </c>
      <c r="H27" s="4" t="s">
        <v>5</v>
      </c>
      <c r="I27" s="10" t="s">
        <v>71</v>
      </c>
      <c r="J27" s="10" t="n">
        <v>0.83</v>
      </c>
      <c r="K27" s="10" t="n">
        <f aca="false">detail_avancement!B26</f>
        <v>0.82</v>
      </c>
      <c r="L27" s="10" t="n">
        <f aca="false">J26-K26</f>
        <v>0.01</v>
      </c>
      <c r="M27" s="11" t="n">
        <f aca="false">IF(J26=0,0,K26/J26)</f>
        <v>0.994011976047904</v>
      </c>
      <c r="N27" s="12" t="s">
        <v>39</v>
      </c>
      <c r="O27" s="13" t="s">
        <v>40</v>
      </c>
    </row>
    <row r="28" customFormat="false" ht="30" hidden="false" customHeight="true" outlineLevel="0" collapsed="false">
      <c r="A28" s="14" t="n">
        <v>26</v>
      </c>
      <c r="B28" s="17" t="s">
        <v>83</v>
      </c>
      <c r="C28" s="5" t="s">
        <v>100</v>
      </c>
      <c r="D28" s="5" t="s">
        <v>109</v>
      </c>
      <c r="E28" s="5" t="s">
        <v>117</v>
      </c>
      <c r="F28" s="5" t="s">
        <v>118</v>
      </c>
      <c r="G28" s="5" t="s">
        <v>96</v>
      </c>
      <c r="H28" s="5" t="s">
        <v>5</v>
      </c>
      <c r="I28" s="15" t="s">
        <v>44</v>
      </c>
      <c r="J28" s="15" t="n">
        <v>2</v>
      </c>
      <c r="K28" s="15" t="n">
        <f aca="false">detail_avancement!B27</f>
        <v>2</v>
      </c>
      <c r="L28" s="15" t="n">
        <f aca="false">J27-K27</f>
        <v>0.01</v>
      </c>
      <c r="M28" s="16" t="n">
        <f aca="false">IF(J27=0,0,K27/J27)</f>
        <v>0.987951807228916</v>
      </c>
      <c r="N28" s="12" t="s">
        <v>39</v>
      </c>
      <c r="O28" s="13" t="s">
        <v>40</v>
      </c>
    </row>
    <row r="29" customFormat="false" ht="30" hidden="false" customHeight="true" outlineLevel="0" collapsed="false">
      <c r="A29" s="8" t="n">
        <v>27</v>
      </c>
      <c r="B29" s="17" t="s">
        <v>83</v>
      </c>
      <c r="C29" s="4" t="s">
        <v>100</v>
      </c>
      <c r="D29" s="4" t="s">
        <v>109</v>
      </c>
      <c r="E29" s="4" t="s">
        <v>119</v>
      </c>
      <c r="F29" s="4" t="s">
        <v>120</v>
      </c>
      <c r="G29" s="4" t="s">
        <v>96</v>
      </c>
      <c r="H29" s="4" t="s">
        <v>5</v>
      </c>
      <c r="I29" s="10" t="s">
        <v>52</v>
      </c>
      <c r="J29" s="10" t="n">
        <v>0.75</v>
      </c>
      <c r="K29" s="10" t="n">
        <f aca="false">detail_avancement!B28</f>
        <v>0.76</v>
      </c>
      <c r="L29" s="10" t="n">
        <f aca="false">J28-K28</f>
        <v>0</v>
      </c>
      <c r="M29" s="11" t="n">
        <f aca="false">IF(J28=0,0,K28/J28)</f>
        <v>1</v>
      </c>
      <c r="N29" s="12" t="s">
        <v>39</v>
      </c>
      <c r="O29" s="13" t="s">
        <v>40</v>
      </c>
    </row>
    <row r="30" customFormat="false" ht="30" hidden="false" customHeight="true" outlineLevel="0" collapsed="false">
      <c r="A30" s="14" t="n">
        <v>28</v>
      </c>
      <c r="B30" s="17" t="s">
        <v>83</v>
      </c>
      <c r="C30" s="5" t="s">
        <v>100</v>
      </c>
      <c r="D30" s="5" t="s">
        <v>109</v>
      </c>
      <c r="E30" s="5" t="s">
        <v>29</v>
      </c>
      <c r="F30" s="5" t="s">
        <v>121</v>
      </c>
      <c r="G30" s="5" t="s">
        <v>96</v>
      </c>
      <c r="H30" s="5" t="s">
        <v>5</v>
      </c>
      <c r="I30" s="15" t="s">
        <v>75</v>
      </c>
      <c r="J30" s="15" t="n">
        <v>0.67</v>
      </c>
      <c r="K30" s="15" t="n">
        <f aca="false">detail_avancement!B29</f>
        <v>0.68</v>
      </c>
      <c r="L30" s="15" t="n">
        <f aca="false">J29-K29</f>
        <v>-0.01</v>
      </c>
      <c r="M30" s="16" t="n">
        <f aca="false">IF(J29=0,0,K29/J29)</f>
        <v>1.01333333333333</v>
      </c>
      <c r="N30" s="12" t="s">
        <v>39</v>
      </c>
      <c r="O30" s="13" t="s">
        <v>40</v>
      </c>
    </row>
    <row r="31" customFormat="false" ht="30" hidden="false" customHeight="true" outlineLevel="0" collapsed="false">
      <c r="A31" s="8" t="n">
        <v>29</v>
      </c>
      <c r="B31" s="17" t="s">
        <v>83</v>
      </c>
      <c r="C31" s="4" t="s">
        <v>100</v>
      </c>
      <c r="D31" s="4" t="s">
        <v>109</v>
      </c>
      <c r="E31" s="4" t="s">
        <v>122</v>
      </c>
      <c r="F31" s="4" t="s">
        <v>123</v>
      </c>
      <c r="G31" s="4" t="s">
        <v>96</v>
      </c>
      <c r="H31" s="4" t="s">
        <v>5</v>
      </c>
      <c r="I31" s="10" t="s">
        <v>65</v>
      </c>
      <c r="J31" s="10" t="n">
        <v>1</v>
      </c>
      <c r="K31" s="10" t="n">
        <f aca="false">detail_avancement!B30</f>
        <v>1</v>
      </c>
      <c r="L31" s="10" t="n">
        <f aca="false">J30-K30</f>
        <v>-0.01</v>
      </c>
      <c r="M31" s="11" t="n">
        <f aca="false">IF(J30=0,0,K30/J30)</f>
        <v>1.01492537313433</v>
      </c>
      <c r="N31" s="12" t="s">
        <v>39</v>
      </c>
      <c r="O31" s="13" t="s">
        <v>40</v>
      </c>
    </row>
    <row r="32" customFormat="false" ht="30" hidden="false" customHeight="true" outlineLevel="0" collapsed="false">
      <c r="A32" s="14" t="n">
        <v>30</v>
      </c>
      <c r="B32" s="17" t="s">
        <v>83</v>
      </c>
      <c r="C32" s="5" t="s">
        <v>124</v>
      </c>
      <c r="D32" s="5" t="s">
        <v>125</v>
      </c>
      <c r="E32" s="5" t="s">
        <v>126</v>
      </c>
      <c r="F32" s="5" t="s">
        <v>127</v>
      </c>
      <c r="G32" s="5" t="s">
        <v>49</v>
      </c>
      <c r="H32" s="5" t="s">
        <v>5</v>
      </c>
      <c r="I32" s="15" t="s">
        <v>38</v>
      </c>
      <c r="J32" s="15" t="n">
        <v>1.5</v>
      </c>
      <c r="K32" s="15" t="n">
        <f aca="false">detail_avancement!B31</f>
        <v>1.5</v>
      </c>
      <c r="L32" s="15" t="n">
        <f aca="false">J31-K31</f>
        <v>0</v>
      </c>
      <c r="M32" s="16" t="n">
        <f aca="false">IF(J31=0,0,K31/J31)</f>
        <v>1</v>
      </c>
      <c r="N32" s="12" t="s">
        <v>39</v>
      </c>
      <c r="O32" s="13" t="s">
        <v>40</v>
      </c>
    </row>
    <row r="33" customFormat="false" ht="30" hidden="false" customHeight="true" outlineLevel="0" collapsed="false">
      <c r="A33" s="8" t="n">
        <v>31</v>
      </c>
      <c r="B33" s="18" t="s">
        <v>128</v>
      </c>
      <c r="C33" s="4" t="s">
        <v>129</v>
      </c>
      <c r="D33" s="4" t="s">
        <v>130</v>
      </c>
      <c r="E33" s="4" t="s">
        <v>131</v>
      </c>
      <c r="F33" s="4" t="s">
        <v>132</v>
      </c>
      <c r="G33" s="4" t="s">
        <v>129</v>
      </c>
      <c r="H33" s="4" t="s">
        <v>5</v>
      </c>
      <c r="I33" s="10" t="s">
        <v>92</v>
      </c>
      <c r="J33" s="10" t="n">
        <v>1.33</v>
      </c>
      <c r="K33" s="10" t="n">
        <f aca="false">detail_avancement!B32</f>
        <v>1.34</v>
      </c>
      <c r="L33" s="10" t="n">
        <f aca="false">J32-K32</f>
        <v>0</v>
      </c>
      <c r="M33" s="11" t="n">
        <f aca="false">IF(J32=0,0,K32/J32)</f>
        <v>1</v>
      </c>
      <c r="N33" s="12" t="s">
        <v>39</v>
      </c>
      <c r="O33" s="13" t="s">
        <v>40</v>
      </c>
    </row>
    <row r="34" customFormat="false" ht="30" hidden="false" customHeight="true" outlineLevel="0" collapsed="false">
      <c r="A34" s="14" t="n">
        <v>32</v>
      </c>
      <c r="B34" s="18" t="s">
        <v>128</v>
      </c>
      <c r="C34" s="5" t="s">
        <v>129</v>
      </c>
      <c r="D34" s="5" t="s">
        <v>84</v>
      </c>
      <c r="E34" s="5" t="s">
        <v>133</v>
      </c>
      <c r="F34" s="5" t="s">
        <v>134</v>
      </c>
      <c r="G34" s="5" t="s">
        <v>129</v>
      </c>
      <c r="H34" s="5" t="s">
        <v>5</v>
      </c>
      <c r="I34" s="15" t="s">
        <v>44</v>
      </c>
      <c r="J34" s="15" t="n">
        <v>2</v>
      </c>
      <c r="K34" s="15" t="n">
        <f aca="false">detail_avancement!B33</f>
        <v>2</v>
      </c>
      <c r="L34" s="15" t="n">
        <f aca="false">J33-K33</f>
        <v>-0.01</v>
      </c>
      <c r="M34" s="16" t="n">
        <f aca="false">IF(J33=0,0,K33/J33)</f>
        <v>1.00751879699248</v>
      </c>
      <c r="N34" s="12" t="s">
        <v>39</v>
      </c>
      <c r="O34" s="13" t="s">
        <v>40</v>
      </c>
    </row>
    <row r="35" customFormat="false" ht="30" hidden="false" customHeight="true" outlineLevel="0" collapsed="false">
      <c r="A35" s="8" t="n">
        <v>33</v>
      </c>
      <c r="B35" s="18" t="s">
        <v>128</v>
      </c>
      <c r="C35" s="4" t="s">
        <v>129</v>
      </c>
      <c r="D35" s="4" t="s">
        <v>135</v>
      </c>
      <c r="E35" s="4" t="s">
        <v>133</v>
      </c>
      <c r="F35" s="4" t="s">
        <v>136</v>
      </c>
      <c r="G35" s="4" t="s">
        <v>129</v>
      </c>
      <c r="H35" s="4" t="s">
        <v>5</v>
      </c>
      <c r="I35" s="10" t="s">
        <v>38</v>
      </c>
      <c r="J35" s="10" t="n">
        <v>1.5</v>
      </c>
      <c r="K35" s="10" t="n">
        <f aca="false">detail_avancement!B34</f>
        <v>1.5</v>
      </c>
      <c r="L35" s="10" t="n">
        <f aca="false">J34-K34</f>
        <v>0</v>
      </c>
      <c r="M35" s="11" t="n">
        <f aca="false">IF(J34=0,0,K34/J34)</f>
        <v>1</v>
      </c>
      <c r="N35" s="12" t="s">
        <v>39</v>
      </c>
      <c r="O35" s="13" t="s">
        <v>40</v>
      </c>
    </row>
    <row r="36" customFormat="false" ht="30" hidden="false" customHeight="true" outlineLevel="0" collapsed="false">
      <c r="A36" s="14" t="n">
        <v>34</v>
      </c>
      <c r="B36" s="18" t="s">
        <v>128</v>
      </c>
      <c r="C36" s="5" t="s">
        <v>129</v>
      </c>
      <c r="D36" s="5" t="s">
        <v>137</v>
      </c>
      <c r="E36" s="5" t="s">
        <v>133</v>
      </c>
      <c r="F36" s="5" t="s">
        <v>138</v>
      </c>
      <c r="G36" s="5" t="s">
        <v>129</v>
      </c>
      <c r="H36" s="5" t="s">
        <v>5</v>
      </c>
      <c r="I36" s="15" t="s">
        <v>82</v>
      </c>
      <c r="J36" s="15" t="n">
        <v>0.58</v>
      </c>
      <c r="K36" s="15" t="n">
        <f aca="false">detail_avancement!B35</f>
        <v>0.58</v>
      </c>
      <c r="L36" s="15" t="n">
        <f aca="false">J35-K35</f>
        <v>0</v>
      </c>
      <c r="M36" s="16" t="n">
        <f aca="false">IF(J35=0,0,K35/J35)</f>
        <v>1</v>
      </c>
      <c r="N36" s="12" t="s">
        <v>39</v>
      </c>
      <c r="O36" s="13" t="s">
        <v>40</v>
      </c>
    </row>
    <row r="37" customFormat="false" ht="30" hidden="false" customHeight="true" outlineLevel="0" collapsed="false">
      <c r="A37" s="8" t="n">
        <v>35</v>
      </c>
      <c r="B37" s="18" t="s">
        <v>128</v>
      </c>
      <c r="C37" s="4" t="s">
        <v>129</v>
      </c>
      <c r="D37" s="4" t="s">
        <v>106</v>
      </c>
      <c r="E37" s="4" t="s">
        <v>133</v>
      </c>
      <c r="F37" s="4" t="s">
        <v>139</v>
      </c>
      <c r="G37" s="4" t="s">
        <v>129</v>
      </c>
      <c r="H37" s="4" t="s">
        <v>5</v>
      </c>
      <c r="I37" s="10" t="s">
        <v>71</v>
      </c>
      <c r="J37" s="10" t="n">
        <v>0.83</v>
      </c>
      <c r="K37" s="10" t="n">
        <f aca="false">detail_avancement!B36</f>
        <v>0.82</v>
      </c>
      <c r="L37" s="10" t="n">
        <f aca="false">J36-K36</f>
        <v>0</v>
      </c>
      <c r="M37" s="11" t="n">
        <f aca="false">IF(J36=0,0,K36/J36)</f>
        <v>1</v>
      </c>
      <c r="N37" s="12" t="s">
        <v>39</v>
      </c>
      <c r="O37" s="13" t="s">
        <v>40</v>
      </c>
    </row>
    <row r="38" customFormat="false" ht="30" hidden="false" customHeight="true" outlineLevel="0" collapsed="false">
      <c r="A38" s="14" t="n">
        <v>36</v>
      </c>
      <c r="B38" s="18" t="s">
        <v>128</v>
      </c>
      <c r="C38" s="5" t="s">
        <v>129</v>
      </c>
      <c r="D38" s="5" t="s">
        <v>140</v>
      </c>
      <c r="E38" s="5" t="s">
        <v>141</v>
      </c>
      <c r="F38" s="5" t="s">
        <v>142</v>
      </c>
      <c r="G38" s="5" t="s">
        <v>129</v>
      </c>
      <c r="H38" s="5" t="s">
        <v>5</v>
      </c>
      <c r="I38" s="15" t="s">
        <v>143</v>
      </c>
      <c r="J38" s="15" t="n">
        <v>1.25</v>
      </c>
      <c r="K38" s="15" t="n">
        <f aca="false">detail_avancement!B37</f>
        <v>1.24</v>
      </c>
      <c r="L38" s="15" t="n">
        <f aca="false">J37-K37</f>
        <v>0.01</v>
      </c>
      <c r="M38" s="16" t="n">
        <f aca="false">IF(J37=0,0,K37/J37)</f>
        <v>0.987951807228916</v>
      </c>
      <c r="N38" s="12" t="s">
        <v>39</v>
      </c>
      <c r="O38" s="13" t="s">
        <v>40</v>
      </c>
    </row>
    <row r="39" customFormat="false" ht="30" hidden="false" customHeight="true" outlineLevel="0" collapsed="false">
      <c r="A39" s="8" t="n">
        <v>37</v>
      </c>
      <c r="B39" s="18" t="s">
        <v>128</v>
      </c>
      <c r="C39" s="4" t="s">
        <v>129</v>
      </c>
      <c r="D39" s="4" t="s">
        <v>144</v>
      </c>
      <c r="E39" s="4" t="s">
        <v>145</v>
      </c>
      <c r="F39" s="4" t="s">
        <v>146</v>
      </c>
      <c r="G39" s="4" t="s">
        <v>129</v>
      </c>
      <c r="H39" s="4" t="s">
        <v>5</v>
      </c>
      <c r="I39" s="10" t="s">
        <v>65</v>
      </c>
      <c r="J39" s="10" t="n">
        <v>1</v>
      </c>
      <c r="K39" s="10" t="n">
        <f aca="false">detail_avancement!B38</f>
        <v>1</v>
      </c>
      <c r="L39" s="10" t="n">
        <f aca="false">J38-K38</f>
        <v>0.01</v>
      </c>
      <c r="M39" s="11" t="n">
        <f aca="false">IF(J38=0,0,K38/J38)</f>
        <v>0.992</v>
      </c>
      <c r="N39" s="12" t="s">
        <v>39</v>
      </c>
      <c r="O39" s="13" t="s">
        <v>40</v>
      </c>
    </row>
    <row r="40" customFormat="false" ht="30" hidden="false" customHeight="true" outlineLevel="0" collapsed="false">
      <c r="A40" s="14" t="n">
        <v>38</v>
      </c>
      <c r="B40" s="18" t="s">
        <v>128</v>
      </c>
      <c r="C40" s="5" t="s">
        <v>129</v>
      </c>
      <c r="D40" s="5" t="s">
        <v>144</v>
      </c>
      <c r="E40" s="5" t="s">
        <v>147</v>
      </c>
      <c r="F40" s="5" t="s">
        <v>148</v>
      </c>
      <c r="G40" s="5" t="s">
        <v>129</v>
      </c>
      <c r="H40" s="5" t="s">
        <v>5</v>
      </c>
      <c r="I40" s="15" t="s">
        <v>54</v>
      </c>
      <c r="J40" s="15" t="n">
        <v>0.5</v>
      </c>
      <c r="K40" s="15" t="n">
        <f aca="false">2</f>
        <v>2</v>
      </c>
      <c r="L40" s="15" t="n">
        <f aca="false">J39-K39</f>
        <v>0</v>
      </c>
      <c r="M40" s="16" t="n">
        <f aca="false">IF(J39=0,0,K39/J39)</f>
        <v>1</v>
      </c>
      <c r="N40" s="12" t="s">
        <v>39</v>
      </c>
      <c r="O40" s="13" t="s">
        <v>40</v>
      </c>
    </row>
    <row r="41" customFormat="false" ht="30" hidden="false" customHeight="true" outlineLevel="0" collapsed="false">
      <c r="A41" s="8" t="n">
        <v>39</v>
      </c>
      <c r="B41" s="18" t="s">
        <v>128</v>
      </c>
      <c r="C41" s="4" t="s">
        <v>100</v>
      </c>
      <c r="D41" s="4" t="s">
        <v>149</v>
      </c>
      <c r="E41" s="4" t="s">
        <v>150</v>
      </c>
      <c r="F41" s="4" t="s">
        <v>151</v>
      </c>
      <c r="G41" s="4" t="s">
        <v>96</v>
      </c>
      <c r="H41" s="4" t="s">
        <v>5</v>
      </c>
      <c r="I41" s="10" t="s">
        <v>65</v>
      </c>
      <c r="J41" s="10" t="n">
        <v>1</v>
      </c>
      <c r="K41" s="10" t="n">
        <f aca="false">detail_avancement!B40</f>
        <v>1</v>
      </c>
      <c r="L41" s="10" t="n">
        <f aca="false">J40-K40</f>
        <v>-1.5</v>
      </c>
      <c r="M41" s="11" t="n">
        <f aca="false">IF(J40=0,0,K40/J40)</f>
        <v>4</v>
      </c>
      <c r="N41" s="12" t="s">
        <v>39</v>
      </c>
      <c r="O41" s="13" t="s">
        <v>40</v>
      </c>
    </row>
    <row r="42" customFormat="false" ht="30" hidden="false" customHeight="true" outlineLevel="0" collapsed="false">
      <c r="A42" s="14" t="n">
        <v>40</v>
      </c>
      <c r="B42" s="18" t="s">
        <v>128</v>
      </c>
      <c r="C42" s="5" t="s">
        <v>100</v>
      </c>
      <c r="D42" s="5" t="s">
        <v>149</v>
      </c>
      <c r="E42" s="5" t="s">
        <v>150</v>
      </c>
      <c r="F42" s="5" t="s">
        <v>152</v>
      </c>
      <c r="G42" s="5" t="s">
        <v>96</v>
      </c>
      <c r="H42" s="5" t="s">
        <v>5</v>
      </c>
      <c r="I42" s="15" t="s">
        <v>52</v>
      </c>
      <c r="J42" s="15" t="n">
        <v>0.75</v>
      </c>
      <c r="K42" s="15" t="n">
        <f aca="false">detail_avancement!B41</f>
        <v>0.76</v>
      </c>
      <c r="L42" s="15" t="n">
        <f aca="false">J41-K41</f>
        <v>0</v>
      </c>
      <c r="M42" s="16" t="n">
        <f aca="false">IF(J41=0,0,K41/J41)</f>
        <v>1</v>
      </c>
      <c r="N42" s="12" t="s">
        <v>39</v>
      </c>
      <c r="O42" s="13" t="s">
        <v>40</v>
      </c>
    </row>
    <row r="43" customFormat="false" ht="30" hidden="false" customHeight="true" outlineLevel="0" collapsed="false">
      <c r="A43" s="8" t="n">
        <v>41</v>
      </c>
      <c r="B43" s="19" t="s">
        <v>153</v>
      </c>
      <c r="C43" s="4" t="s">
        <v>45</v>
      </c>
      <c r="D43" s="4" t="s">
        <v>154</v>
      </c>
      <c r="E43" s="4" t="s">
        <v>155</v>
      </c>
      <c r="F43" s="4" t="s">
        <v>156</v>
      </c>
      <c r="G43" s="4" t="s">
        <v>49</v>
      </c>
      <c r="H43" s="4" t="s">
        <v>5</v>
      </c>
      <c r="I43" s="10" t="s">
        <v>82</v>
      </c>
      <c r="J43" s="10" t="n">
        <v>0.58</v>
      </c>
      <c r="K43" s="10" t="n">
        <f aca="false">detail_avancement!B42</f>
        <v>0.58</v>
      </c>
      <c r="L43" s="10" t="n">
        <f aca="false">J42-K42</f>
        <v>-0.01</v>
      </c>
      <c r="M43" s="11" t="n">
        <f aca="false">IF(J42=0,0,K42/J42)</f>
        <v>1.01333333333333</v>
      </c>
      <c r="N43" s="12" t="s">
        <v>39</v>
      </c>
      <c r="O43" s="13" t="s">
        <v>40</v>
      </c>
    </row>
    <row r="44" customFormat="false" ht="30" hidden="false" customHeight="true" outlineLevel="0" collapsed="false">
      <c r="A44" s="14" t="n">
        <v>42</v>
      </c>
      <c r="B44" s="19" t="s">
        <v>153</v>
      </c>
      <c r="C44" s="5" t="s">
        <v>45</v>
      </c>
      <c r="D44" s="5" t="s">
        <v>47</v>
      </c>
      <c r="E44" s="5" t="s">
        <v>157</v>
      </c>
      <c r="F44" s="5" t="s">
        <v>158</v>
      </c>
      <c r="G44" s="5" t="s">
        <v>49</v>
      </c>
      <c r="H44" s="5" t="s">
        <v>5</v>
      </c>
      <c r="I44" s="15" t="s">
        <v>108</v>
      </c>
      <c r="J44" s="15" t="n">
        <v>1.17</v>
      </c>
      <c r="K44" s="15" t="n">
        <f aca="false">detail_avancement!B43</f>
        <v>1.16</v>
      </c>
      <c r="L44" s="15" t="n">
        <f aca="false">J43-K43</f>
        <v>0</v>
      </c>
      <c r="M44" s="16" t="n">
        <f aca="false">IF(J43=0,0,K43/J43)</f>
        <v>1</v>
      </c>
      <c r="N44" s="12" t="s">
        <v>39</v>
      </c>
      <c r="O44" s="13" t="s">
        <v>40</v>
      </c>
    </row>
    <row r="45" customFormat="false" ht="30" hidden="false" customHeight="true" outlineLevel="0" collapsed="false">
      <c r="A45" s="8" t="n">
        <v>43</v>
      </c>
      <c r="B45" s="19" t="s">
        <v>153</v>
      </c>
      <c r="C45" s="4" t="s">
        <v>45</v>
      </c>
      <c r="D45" s="4" t="s">
        <v>57</v>
      </c>
      <c r="E45" s="4" t="s">
        <v>47</v>
      </c>
      <c r="F45" s="4" t="s">
        <v>159</v>
      </c>
      <c r="G45" s="4" t="s">
        <v>49</v>
      </c>
      <c r="H45" s="4" t="s">
        <v>5</v>
      </c>
      <c r="I45" s="10" t="s">
        <v>65</v>
      </c>
      <c r="J45" s="10" t="n">
        <v>1</v>
      </c>
      <c r="K45" s="10" t="n">
        <f aca="false">detail_avancement!B44</f>
        <v>1</v>
      </c>
      <c r="L45" s="10" t="n">
        <f aca="false">J44-K44</f>
        <v>0.01</v>
      </c>
      <c r="M45" s="11" t="n">
        <f aca="false">IF(J44=0,0,K44/J44)</f>
        <v>0.991452991452992</v>
      </c>
      <c r="N45" s="12" t="s">
        <v>39</v>
      </c>
      <c r="O45" s="13" t="s">
        <v>40</v>
      </c>
    </row>
    <row r="46" customFormat="false" ht="30" hidden="false" customHeight="true" outlineLevel="0" collapsed="false">
      <c r="A46" s="14" t="n">
        <v>44</v>
      </c>
      <c r="B46" s="19" t="s">
        <v>153</v>
      </c>
      <c r="C46" s="5" t="s">
        <v>100</v>
      </c>
      <c r="D46" s="5" t="s">
        <v>160</v>
      </c>
      <c r="E46" s="5" t="s">
        <v>161</v>
      </c>
      <c r="F46" s="5" t="s">
        <v>162</v>
      </c>
      <c r="G46" s="5" t="s">
        <v>96</v>
      </c>
      <c r="H46" s="5" t="s">
        <v>5</v>
      </c>
      <c r="I46" s="15" t="s">
        <v>71</v>
      </c>
      <c r="J46" s="15" t="n">
        <v>0.83</v>
      </c>
      <c r="K46" s="15" t="n">
        <f aca="false">detail_avancement!B45</f>
        <v>0.82</v>
      </c>
      <c r="L46" s="15" t="n">
        <f aca="false">J45-K45</f>
        <v>0</v>
      </c>
      <c r="M46" s="16" t="n">
        <f aca="false">IF(J45=0,0,K45/J45)</f>
        <v>1</v>
      </c>
      <c r="N46" s="12" t="s">
        <v>39</v>
      </c>
      <c r="O46" s="13" t="s">
        <v>40</v>
      </c>
    </row>
    <row r="47" customFormat="false" ht="30" hidden="false" customHeight="true" outlineLevel="0" collapsed="false">
      <c r="A47" s="8" t="n">
        <v>45</v>
      </c>
      <c r="B47" s="19" t="s">
        <v>153</v>
      </c>
      <c r="C47" s="4" t="s">
        <v>49</v>
      </c>
      <c r="D47" s="4" t="s">
        <v>163</v>
      </c>
      <c r="E47" s="4" t="s">
        <v>164</v>
      </c>
      <c r="F47" s="4" t="s">
        <v>165</v>
      </c>
      <c r="G47" s="4" t="s">
        <v>49</v>
      </c>
      <c r="H47" s="4" t="s">
        <v>5</v>
      </c>
      <c r="I47" s="10" t="s">
        <v>166</v>
      </c>
      <c r="J47" s="10" t="n">
        <v>0.92</v>
      </c>
      <c r="K47" s="10" t="n">
        <f aca="false">detail_avancement!B46</f>
        <v>0.92</v>
      </c>
      <c r="L47" s="10" t="n">
        <f aca="false">J46-K46</f>
        <v>0.01</v>
      </c>
      <c r="M47" s="11" t="n">
        <f aca="false">IF(J46=0,0,K46/J46)</f>
        <v>0.987951807228916</v>
      </c>
      <c r="N47" s="12" t="s">
        <v>39</v>
      </c>
      <c r="O47" s="13" t="s">
        <v>40</v>
      </c>
    </row>
    <row r="48" customFormat="false" ht="30" hidden="false" customHeight="true" outlineLevel="0" collapsed="false">
      <c r="A48" s="14" t="n">
        <v>46</v>
      </c>
      <c r="B48" s="19" t="s">
        <v>153</v>
      </c>
      <c r="C48" s="5" t="s">
        <v>167</v>
      </c>
      <c r="D48" s="5" t="s">
        <v>61</v>
      </c>
      <c r="E48" s="5" t="s">
        <v>168</v>
      </c>
      <c r="F48" s="5" t="s">
        <v>169</v>
      </c>
      <c r="G48" s="5" t="s">
        <v>49</v>
      </c>
      <c r="H48" s="5" t="s">
        <v>5</v>
      </c>
      <c r="I48" s="15" t="s">
        <v>75</v>
      </c>
      <c r="J48" s="15" t="n">
        <v>0.67</v>
      </c>
      <c r="K48" s="15" t="n">
        <f aca="false">detail_avancement!B47</f>
        <v>0.68</v>
      </c>
      <c r="L48" s="15" t="n">
        <f aca="false">J47-K47</f>
        <v>0</v>
      </c>
      <c r="M48" s="16" t="n">
        <f aca="false">IF(J47=0,0,K47/J47)</f>
        <v>1</v>
      </c>
      <c r="N48" s="12" t="s">
        <v>39</v>
      </c>
      <c r="O48" s="13" t="s">
        <v>40</v>
      </c>
    </row>
    <row r="49" customFormat="false" ht="30" hidden="false" customHeight="true" outlineLevel="0" collapsed="false">
      <c r="A49" s="8" t="n">
        <v>47</v>
      </c>
      <c r="B49" s="19" t="s">
        <v>153</v>
      </c>
      <c r="C49" s="4" t="s">
        <v>170</v>
      </c>
      <c r="D49" s="4" t="s">
        <v>171</v>
      </c>
      <c r="E49" s="4" t="s">
        <v>172</v>
      </c>
      <c r="F49" s="4" t="s">
        <v>173</v>
      </c>
      <c r="G49" s="4" t="s">
        <v>170</v>
      </c>
      <c r="H49" s="4" t="s">
        <v>5</v>
      </c>
      <c r="I49" s="10" t="s">
        <v>65</v>
      </c>
      <c r="J49" s="10" t="n">
        <v>1</v>
      </c>
      <c r="K49" s="10" t="n">
        <f aca="false">2</f>
        <v>2</v>
      </c>
      <c r="L49" s="10" t="n">
        <f aca="false">J48-K48</f>
        <v>-0.01</v>
      </c>
      <c r="M49" s="11" t="n">
        <f aca="false">IF(J48=0,0,K48/J48)</f>
        <v>1.01492537313433</v>
      </c>
      <c r="N49" s="12" t="s">
        <v>39</v>
      </c>
      <c r="O49" s="13" t="s">
        <v>40</v>
      </c>
    </row>
    <row r="50" customFormat="false" ht="30" hidden="false" customHeight="true" outlineLevel="0" collapsed="false">
      <c r="A50" s="14" t="n">
        <v>48</v>
      </c>
      <c r="B50" s="19" t="s">
        <v>153</v>
      </c>
      <c r="C50" s="5" t="s">
        <v>78</v>
      </c>
      <c r="D50" s="5" t="s">
        <v>174</v>
      </c>
      <c r="E50" s="5" t="s">
        <v>175</v>
      </c>
      <c r="F50" s="5" t="s">
        <v>176</v>
      </c>
      <c r="G50" s="5" t="s">
        <v>78</v>
      </c>
      <c r="H50" s="5" t="s">
        <v>5</v>
      </c>
      <c r="I50" s="15" t="s">
        <v>52</v>
      </c>
      <c r="J50" s="15" t="n">
        <v>0.75</v>
      </c>
      <c r="K50" s="15" t="n">
        <f aca="false">detail_avancement!B49</f>
        <v>0.76</v>
      </c>
      <c r="L50" s="15" t="n">
        <f aca="false">J49-K49</f>
        <v>-1</v>
      </c>
      <c r="M50" s="16" t="n">
        <f aca="false">IF(J49=0,0,K49/J49)</f>
        <v>2</v>
      </c>
      <c r="N50" s="12" t="s">
        <v>39</v>
      </c>
      <c r="O50" s="13" t="s">
        <v>40</v>
      </c>
    </row>
    <row r="51" customFormat="false" ht="30" hidden="false" customHeight="true" outlineLevel="0" collapsed="false">
      <c r="A51" s="8" t="n">
        <v>49</v>
      </c>
      <c r="B51" s="20" t="s">
        <v>177</v>
      </c>
      <c r="C51" s="4" t="s">
        <v>178</v>
      </c>
      <c r="D51" s="4" t="s">
        <v>179</v>
      </c>
      <c r="E51" s="4" t="s">
        <v>180</v>
      </c>
      <c r="F51" s="4" t="s">
        <v>181</v>
      </c>
      <c r="G51" s="4" t="s">
        <v>49</v>
      </c>
      <c r="H51" s="4" t="s">
        <v>5</v>
      </c>
      <c r="I51" s="10" t="s">
        <v>92</v>
      </c>
      <c r="J51" s="10" t="n">
        <v>1.33</v>
      </c>
      <c r="K51" s="10" t="n">
        <f aca="false">detail_avancement!B50</f>
        <v>1.33</v>
      </c>
      <c r="L51" s="10" t="n">
        <f aca="false">J50-K50</f>
        <v>-0.01</v>
      </c>
      <c r="M51" s="11" t="n">
        <f aca="false">IF(J50=0,0,K50/J50)</f>
        <v>1.01333333333333</v>
      </c>
      <c r="N51" s="12" t="s">
        <v>39</v>
      </c>
      <c r="O51" s="21" t="s">
        <v>182</v>
      </c>
    </row>
    <row r="52" customFormat="false" ht="30" hidden="false" customHeight="true" outlineLevel="0" collapsed="false">
      <c r="A52" s="14" t="n">
        <v>50</v>
      </c>
      <c r="B52" s="20" t="s">
        <v>177</v>
      </c>
      <c r="C52" s="5" t="s">
        <v>178</v>
      </c>
      <c r="D52" s="5" t="s">
        <v>183</v>
      </c>
      <c r="E52" s="5" t="s">
        <v>184</v>
      </c>
      <c r="F52" s="5" t="s">
        <v>185</v>
      </c>
      <c r="G52" s="5" t="s">
        <v>49</v>
      </c>
      <c r="H52" s="5" t="s">
        <v>5</v>
      </c>
      <c r="I52" s="15" t="s">
        <v>92</v>
      </c>
      <c r="J52" s="15" t="n">
        <v>1.33</v>
      </c>
      <c r="K52" s="15" t="n">
        <f aca="false">detail_avancement!B51</f>
        <v>1.33</v>
      </c>
      <c r="L52" s="15" t="n">
        <f aca="false">J51-K51</f>
        <v>0</v>
      </c>
      <c r="M52" s="16" t="n">
        <f aca="false">IF(J51=0,0,K51/J51)</f>
        <v>1</v>
      </c>
      <c r="N52" s="12" t="s">
        <v>39</v>
      </c>
      <c r="O52" s="21" t="s">
        <v>182</v>
      </c>
    </row>
    <row r="53" customFormat="false" ht="30" hidden="false" customHeight="true" outlineLevel="0" collapsed="false">
      <c r="A53" s="8" t="n">
        <v>51</v>
      </c>
      <c r="B53" s="20" t="s">
        <v>177</v>
      </c>
      <c r="C53" s="4" t="s">
        <v>178</v>
      </c>
      <c r="D53" s="4" t="s">
        <v>179</v>
      </c>
      <c r="E53" s="4" t="s">
        <v>186</v>
      </c>
      <c r="F53" s="4" t="s">
        <v>187</v>
      </c>
      <c r="G53" s="4" t="s">
        <v>49</v>
      </c>
      <c r="H53" s="4" t="s">
        <v>5</v>
      </c>
      <c r="I53" s="10" t="s">
        <v>65</v>
      </c>
      <c r="J53" s="10" t="n">
        <v>1</v>
      </c>
      <c r="K53" s="10" t="n">
        <f aca="false">1.3</f>
        <v>1.3</v>
      </c>
      <c r="L53" s="10" t="n">
        <f aca="false">J52-K52</f>
        <v>0</v>
      </c>
      <c r="M53" s="11" t="n">
        <f aca="false">IF(J52=0,0,K52/J52)</f>
        <v>1</v>
      </c>
      <c r="N53" s="12" t="s">
        <v>39</v>
      </c>
      <c r="O53" s="21" t="s">
        <v>182</v>
      </c>
    </row>
    <row r="54" customFormat="false" ht="30" hidden="false" customHeight="true" outlineLevel="0" collapsed="false">
      <c r="A54" s="14" t="n">
        <v>52</v>
      </c>
      <c r="B54" s="20" t="s">
        <v>177</v>
      </c>
      <c r="C54" s="5" t="s">
        <v>178</v>
      </c>
      <c r="D54" s="5" t="s">
        <v>100</v>
      </c>
      <c r="E54" s="5" t="s">
        <v>188</v>
      </c>
      <c r="F54" s="5" t="s">
        <v>189</v>
      </c>
      <c r="G54" s="5" t="s">
        <v>96</v>
      </c>
      <c r="H54" s="5" t="s">
        <v>5</v>
      </c>
      <c r="I54" s="15" t="s">
        <v>71</v>
      </c>
      <c r="J54" s="15" t="n">
        <v>0.83</v>
      </c>
      <c r="K54" s="15" t="n">
        <f aca="false">detail_avancement!B53</f>
        <v>0.83</v>
      </c>
      <c r="L54" s="15" t="n">
        <f aca="false">J53-K53</f>
        <v>-0.3</v>
      </c>
      <c r="M54" s="16" t="n">
        <f aca="false">IF(J53=0,0,K53/J53)</f>
        <v>1.3</v>
      </c>
      <c r="N54" s="12" t="s">
        <v>39</v>
      </c>
      <c r="O54" s="13" t="s">
        <v>40</v>
      </c>
    </row>
    <row r="55" customFormat="false" ht="30" hidden="false" customHeight="true" outlineLevel="0" collapsed="false">
      <c r="A55" s="8" t="n">
        <v>53</v>
      </c>
      <c r="B55" s="20" t="s">
        <v>177</v>
      </c>
      <c r="C55" s="4" t="s">
        <v>178</v>
      </c>
      <c r="D55" s="4" t="s">
        <v>100</v>
      </c>
      <c r="E55" s="4" t="s">
        <v>190</v>
      </c>
      <c r="F55" s="4" t="s">
        <v>191</v>
      </c>
      <c r="G55" s="4" t="s">
        <v>96</v>
      </c>
      <c r="H55" s="4" t="s">
        <v>5</v>
      </c>
      <c r="I55" s="10" t="s">
        <v>52</v>
      </c>
      <c r="J55" s="10" t="n">
        <v>0.75</v>
      </c>
      <c r="K55" s="10" t="n">
        <f aca="false">detail_avancement!B54</f>
        <v>0.75</v>
      </c>
      <c r="L55" s="10" t="n">
        <f aca="false">J54-K54</f>
        <v>0</v>
      </c>
      <c r="M55" s="11" t="n">
        <f aca="false">IF(J54=0,0,K54/J54)</f>
        <v>1</v>
      </c>
      <c r="N55" s="12" t="s">
        <v>39</v>
      </c>
      <c r="O55" s="13" t="s">
        <v>40</v>
      </c>
    </row>
    <row r="56" customFormat="false" ht="30" hidden="false" customHeight="true" outlineLevel="0" collapsed="false">
      <c r="A56" s="14" t="n">
        <v>54</v>
      </c>
      <c r="B56" s="20" t="s">
        <v>177</v>
      </c>
      <c r="C56" s="5" t="s">
        <v>178</v>
      </c>
      <c r="D56" s="5" t="s">
        <v>100</v>
      </c>
      <c r="E56" s="5" t="s">
        <v>192</v>
      </c>
      <c r="F56" s="5" t="s">
        <v>193</v>
      </c>
      <c r="G56" s="5" t="s">
        <v>96</v>
      </c>
      <c r="H56" s="5" t="s">
        <v>5</v>
      </c>
      <c r="I56" s="15" t="s">
        <v>52</v>
      </c>
      <c r="J56" s="15" t="n">
        <v>0.75</v>
      </c>
      <c r="K56" s="15" t="n">
        <f aca="false">detail_avancement!B55</f>
        <v>0.75</v>
      </c>
      <c r="L56" s="15" t="n">
        <f aca="false">J55-K55</f>
        <v>0</v>
      </c>
      <c r="M56" s="16" t="n">
        <f aca="false">IF(J55=0,0,K55/J55)</f>
        <v>1</v>
      </c>
      <c r="N56" s="12" t="s">
        <v>39</v>
      </c>
      <c r="O56" s="13" t="s">
        <v>40</v>
      </c>
    </row>
    <row r="57" customFormat="false" ht="30" hidden="false" customHeight="true" outlineLevel="0" collapsed="false">
      <c r="A57" s="8" t="n">
        <v>55</v>
      </c>
      <c r="B57" s="20" t="s">
        <v>177</v>
      </c>
      <c r="C57" s="4" t="s">
        <v>178</v>
      </c>
      <c r="D57" s="4" t="s">
        <v>100</v>
      </c>
      <c r="E57" s="4" t="s">
        <v>194</v>
      </c>
      <c r="F57" s="4" t="s">
        <v>195</v>
      </c>
      <c r="G57" s="4" t="s">
        <v>96</v>
      </c>
      <c r="H57" s="4" t="s">
        <v>5</v>
      </c>
      <c r="I57" s="10" t="s">
        <v>82</v>
      </c>
      <c r="J57" s="10" t="n">
        <v>0.58</v>
      </c>
      <c r="K57" s="10" t="n">
        <f aca="false">detail_avancement!B56</f>
        <v>0.58</v>
      </c>
      <c r="L57" s="10" t="n">
        <f aca="false">J56-K56</f>
        <v>0</v>
      </c>
      <c r="M57" s="11" t="n">
        <f aca="false">IF(J56=0,0,K56/J56)</f>
        <v>1</v>
      </c>
      <c r="N57" s="12" t="s">
        <v>39</v>
      </c>
      <c r="O57" s="13" t="s">
        <v>40</v>
      </c>
    </row>
    <row r="58" customFormat="false" ht="30" hidden="false" customHeight="true" outlineLevel="0" collapsed="false">
      <c r="A58" s="14" t="n">
        <v>56</v>
      </c>
      <c r="B58" s="20" t="s">
        <v>177</v>
      </c>
      <c r="C58" s="5" t="s">
        <v>178</v>
      </c>
      <c r="D58" s="5" t="s">
        <v>129</v>
      </c>
      <c r="E58" s="5" t="s">
        <v>133</v>
      </c>
      <c r="F58" s="5" t="s">
        <v>196</v>
      </c>
      <c r="G58" s="5" t="s">
        <v>129</v>
      </c>
      <c r="H58" s="5" t="s">
        <v>5</v>
      </c>
      <c r="I58" s="15" t="s">
        <v>38</v>
      </c>
      <c r="J58" s="15" t="n">
        <v>1.5</v>
      </c>
      <c r="K58" s="15" t="n">
        <f aca="false">detail_avancement!B57</f>
        <v>1.5</v>
      </c>
      <c r="L58" s="15" t="n">
        <f aca="false">J57-K57</f>
        <v>0</v>
      </c>
      <c r="M58" s="16" t="n">
        <f aca="false">IF(J57=0,0,K57/J57)</f>
        <v>1</v>
      </c>
      <c r="N58" s="12" t="s">
        <v>39</v>
      </c>
      <c r="O58" s="21" t="s">
        <v>182</v>
      </c>
    </row>
    <row r="59" customFormat="false" ht="30" hidden="false" customHeight="true" outlineLevel="0" collapsed="false">
      <c r="A59" s="8" t="n">
        <v>57</v>
      </c>
      <c r="B59" s="20" t="s">
        <v>177</v>
      </c>
      <c r="C59" s="4" t="s">
        <v>178</v>
      </c>
      <c r="D59" s="4" t="s">
        <v>45</v>
      </c>
      <c r="E59" s="4" t="s">
        <v>47</v>
      </c>
      <c r="F59" s="4" t="s">
        <v>197</v>
      </c>
      <c r="G59" s="4" t="s">
        <v>49</v>
      </c>
      <c r="H59" s="4" t="s">
        <v>5</v>
      </c>
      <c r="I59" s="10" t="s">
        <v>75</v>
      </c>
      <c r="J59" s="10" t="n">
        <v>0.67</v>
      </c>
      <c r="K59" s="10" t="n">
        <f aca="false">detail_avancement!B58</f>
        <v>0.67</v>
      </c>
      <c r="L59" s="10" t="n">
        <f aca="false">J58-K58</f>
        <v>0</v>
      </c>
      <c r="M59" s="11" t="n">
        <f aca="false">IF(J58=0,0,K58/J58)</f>
        <v>1</v>
      </c>
      <c r="N59" s="12" t="s">
        <v>39</v>
      </c>
      <c r="O59" s="13" t="s">
        <v>40</v>
      </c>
    </row>
    <row r="60" customFormat="false" ht="30" hidden="false" customHeight="true" outlineLevel="0" collapsed="false">
      <c r="A60" s="14" t="n">
        <v>58</v>
      </c>
      <c r="B60" s="20" t="s">
        <v>177</v>
      </c>
      <c r="C60" s="5" t="s">
        <v>178</v>
      </c>
      <c r="D60" s="5" t="s">
        <v>198</v>
      </c>
      <c r="E60" s="5" t="s">
        <v>199</v>
      </c>
      <c r="F60" s="5" t="s">
        <v>200</v>
      </c>
      <c r="G60" s="5" t="s">
        <v>170</v>
      </c>
      <c r="H60" s="5" t="s">
        <v>5</v>
      </c>
      <c r="I60" s="15" t="s">
        <v>54</v>
      </c>
      <c r="J60" s="15" t="n">
        <v>0.5</v>
      </c>
      <c r="K60" s="15" t="n">
        <f aca="false">detail_avancement!B59</f>
        <v>0.5</v>
      </c>
      <c r="L60" s="15" t="n">
        <f aca="false">J59-K59</f>
        <v>0</v>
      </c>
      <c r="M60" s="16" t="n">
        <f aca="false">IF(J59=0,0,K59/J59)</f>
        <v>1</v>
      </c>
      <c r="N60" s="12" t="s">
        <v>39</v>
      </c>
      <c r="O60" s="13" t="s">
        <v>40</v>
      </c>
    </row>
    <row r="61" customFormat="false" ht="30" hidden="false" customHeight="true" outlineLevel="0" collapsed="false">
      <c r="A61" s="8" t="n">
        <v>59</v>
      </c>
      <c r="B61" s="20" t="s">
        <v>177</v>
      </c>
      <c r="C61" s="4" t="s">
        <v>178</v>
      </c>
      <c r="D61" s="4" t="s">
        <v>179</v>
      </c>
      <c r="E61" s="4" t="s">
        <v>201</v>
      </c>
      <c r="F61" s="4" t="s">
        <v>202</v>
      </c>
      <c r="G61" s="4" t="s">
        <v>49</v>
      </c>
      <c r="H61" s="4" t="s">
        <v>5</v>
      </c>
      <c r="I61" s="10" t="s">
        <v>82</v>
      </c>
      <c r="J61" s="10" t="n">
        <v>0.58</v>
      </c>
      <c r="K61" s="10" t="n">
        <f aca="false">detail_avancement!B60</f>
        <v>0.58</v>
      </c>
      <c r="L61" s="10" t="n">
        <f aca="false">J60-K60</f>
        <v>0</v>
      </c>
      <c r="M61" s="11" t="n">
        <f aca="false">IF(J60=0,0,K60/J60)</f>
        <v>1</v>
      </c>
      <c r="N61" s="12" t="s">
        <v>39</v>
      </c>
      <c r="O61" s="21" t="s">
        <v>182</v>
      </c>
    </row>
    <row r="62" customFormat="false" ht="30" hidden="false" customHeight="true" outlineLevel="0" collapsed="false">
      <c r="A62" s="14" t="n">
        <v>60</v>
      </c>
      <c r="B62" s="20" t="s">
        <v>177</v>
      </c>
      <c r="C62" s="5" t="s">
        <v>178</v>
      </c>
      <c r="D62" s="5" t="s">
        <v>179</v>
      </c>
      <c r="E62" s="5" t="s">
        <v>201</v>
      </c>
      <c r="F62" s="5" t="s">
        <v>203</v>
      </c>
      <c r="G62" s="5" t="s">
        <v>96</v>
      </c>
      <c r="H62" s="5" t="s">
        <v>5</v>
      </c>
      <c r="I62" s="15" t="s">
        <v>204</v>
      </c>
      <c r="J62" s="15" t="n">
        <v>4.25</v>
      </c>
      <c r="K62" s="15" t="n">
        <f aca="false">6</f>
        <v>6</v>
      </c>
      <c r="L62" s="15" t="n">
        <f aca="false">J61-K61</f>
        <v>0</v>
      </c>
      <c r="M62" s="16" t="n">
        <f aca="false">IF(J61=0,0,K61/J61)</f>
        <v>1</v>
      </c>
      <c r="N62" s="12" t="s">
        <v>39</v>
      </c>
      <c r="O62" s="13" t="s">
        <v>40</v>
      </c>
    </row>
    <row r="63" customFormat="false" ht="30" hidden="false" customHeight="true" outlineLevel="0" collapsed="false">
      <c r="A63" s="8" t="n">
        <v>61</v>
      </c>
      <c r="B63" s="7"/>
      <c r="C63" s="4" t="s">
        <v>205</v>
      </c>
      <c r="D63" s="4" t="s">
        <v>206</v>
      </c>
      <c r="E63" s="4" t="s">
        <v>207</v>
      </c>
      <c r="F63" s="4" t="s">
        <v>208</v>
      </c>
      <c r="G63" s="4" t="s">
        <v>209</v>
      </c>
      <c r="H63" s="4" t="s">
        <v>210</v>
      </c>
      <c r="I63" s="10" t="s">
        <v>211</v>
      </c>
      <c r="J63" s="10"/>
      <c r="K63" s="10"/>
      <c r="L63" s="10"/>
      <c r="M63" s="10"/>
      <c r="N63" s="22"/>
      <c r="O63" s="23"/>
    </row>
    <row r="64" customFormat="false" ht="30" hidden="false" customHeight="true" outlineLevel="0" collapsed="false">
      <c r="A64" s="14" t="n">
        <v>62</v>
      </c>
      <c r="B64" s="7"/>
      <c r="C64" s="5" t="s">
        <v>205</v>
      </c>
      <c r="D64" s="5" t="s">
        <v>206</v>
      </c>
      <c r="E64" s="5" t="s">
        <v>212</v>
      </c>
      <c r="F64" s="5" t="s">
        <v>213</v>
      </c>
      <c r="G64" s="5" t="s">
        <v>214</v>
      </c>
      <c r="H64" s="5" t="s">
        <v>210</v>
      </c>
      <c r="I64" s="15" t="s">
        <v>215</v>
      </c>
      <c r="J64" s="15"/>
      <c r="K64" s="15"/>
      <c r="L64" s="15"/>
      <c r="M64" s="15"/>
      <c r="N64" s="22"/>
      <c r="O64" s="23"/>
    </row>
    <row r="65" customFormat="false" ht="25.5" hidden="false" customHeight="true" outlineLevel="0" collapsed="false">
      <c r="A65" s="14" t="n">
        <v>63</v>
      </c>
      <c r="B65" s="14" t="s">
        <v>153</v>
      </c>
      <c r="C65" s="14" t="s">
        <v>216</v>
      </c>
      <c r="D65" s="14" t="s">
        <v>49</v>
      </c>
      <c r="E65" s="14" t="s">
        <v>217</v>
      </c>
      <c r="F65" s="14" t="s">
        <v>218</v>
      </c>
      <c r="G65" s="14" t="s">
        <v>49</v>
      </c>
      <c r="H65" s="14" t="s">
        <v>5</v>
      </c>
      <c r="I65" s="14" t="s">
        <v>52</v>
      </c>
      <c r="J65" s="14" t="n">
        <v>0.75</v>
      </c>
      <c r="K65" s="14" t="n">
        <v>0.75</v>
      </c>
      <c r="L65" s="14" t="n">
        <v>0</v>
      </c>
      <c r="M65" s="14" t="n">
        <v>1</v>
      </c>
      <c r="N65" s="14" t="s">
        <v>39</v>
      </c>
      <c r="O65" s="14" t="s">
        <v>40</v>
      </c>
    </row>
    <row r="66" customFormat="false" ht="37.5" hidden="false" customHeight="true" outlineLevel="0" collapsed="false">
      <c r="A66" s="8" t="n">
        <v>64</v>
      </c>
      <c r="B66" s="24" t="s">
        <v>153</v>
      </c>
      <c r="C66" s="4" t="s">
        <v>216</v>
      </c>
      <c r="D66" s="4" t="s">
        <v>49</v>
      </c>
      <c r="E66" s="4" t="s">
        <v>219</v>
      </c>
      <c r="F66" s="4" t="s">
        <v>220</v>
      </c>
      <c r="G66" s="4" t="s">
        <v>49</v>
      </c>
      <c r="H66" s="4" t="s">
        <v>5</v>
      </c>
      <c r="I66" s="10" t="s">
        <v>75</v>
      </c>
      <c r="J66" s="10" t="n">
        <v>0.67</v>
      </c>
      <c r="K66" s="10" t="n">
        <v>5</v>
      </c>
      <c r="L66" s="10" t="n">
        <v>0</v>
      </c>
      <c r="M66" s="25" t="n">
        <v>1</v>
      </c>
      <c r="N66" s="12" t="s">
        <v>39</v>
      </c>
      <c r="O66" s="13" t="s">
        <v>40</v>
      </c>
    </row>
    <row r="67" customFormat="false" ht="37.5" hidden="false" customHeight="true" outlineLevel="0" collapsed="false">
      <c r="A67" s="14" t="n">
        <v>65</v>
      </c>
      <c r="B67" s="24" t="s">
        <v>153</v>
      </c>
      <c r="C67" s="5" t="s">
        <v>216</v>
      </c>
      <c r="D67" s="5" t="s">
        <v>49</v>
      </c>
      <c r="E67" s="5" t="s">
        <v>221</v>
      </c>
      <c r="F67" s="5" t="s">
        <v>222</v>
      </c>
      <c r="G67" s="5" t="s">
        <v>49</v>
      </c>
      <c r="H67" s="5" t="s">
        <v>5</v>
      </c>
      <c r="I67" s="15" t="s">
        <v>65</v>
      </c>
      <c r="J67" s="15" t="n">
        <v>1</v>
      </c>
      <c r="K67" s="15" t="n">
        <v>1</v>
      </c>
      <c r="L67" s="15" t="n">
        <v>0</v>
      </c>
      <c r="M67" s="26" t="n">
        <v>1</v>
      </c>
      <c r="N67" s="12" t="s">
        <v>39</v>
      </c>
      <c r="O67" s="13" t="s">
        <v>40</v>
      </c>
    </row>
    <row r="68" customFormat="false" ht="37.5" hidden="false" customHeight="true" outlineLevel="0" collapsed="false">
      <c r="A68" s="8" t="n">
        <v>66</v>
      </c>
      <c r="B68" s="24" t="s">
        <v>153</v>
      </c>
      <c r="C68" s="4" t="s">
        <v>216</v>
      </c>
      <c r="D68" s="4" t="s">
        <v>49</v>
      </c>
      <c r="E68" s="4" t="s">
        <v>221</v>
      </c>
      <c r="F68" s="4" t="s">
        <v>223</v>
      </c>
      <c r="G68" s="4" t="s">
        <v>49</v>
      </c>
      <c r="H68" s="4" t="s">
        <v>5</v>
      </c>
      <c r="I68" s="10" t="s">
        <v>71</v>
      </c>
      <c r="J68" s="10" t="n">
        <v>0.83</v>
      </c>
      <c r="K68" s="10" t="n">
        <v>0.83</v>
      </c>
      <c r="L68" s="10" t="n">
        <v>0</v>
      </c>
      <c r="M68" s="25" t="n">
        <v>1</v>
      </c>
      <c r="N68" s="12" t="s">
        <v>39</v>
      </c>
      <c r="O68" s="13" t="s">
        <v>40</v>
      </c>
    </row>
    <row r="69" customFormat="false" ht="37.5" hidden="false" customHeight="true" outlineLevel="0" collapsed="false">
      <c r="A69" s="14" t="n">
        <v>67</v>
      </c>
      <c r="B69" s="24" t="s">
        <v>153</v>
      </c>
      <c r="C69" s="5" t="s">
        <v>216</v>
      </c>
      <c r="D69" s="5" t="s">
        <v>49</v>
      </c>
      <c r="E69" s="5" t="s">
        <v>221</v>
      </c>
      <c r="F69" s="5" t="s">
        <v>224</v>
      </c>
      <c r="G69" s="5" t="s">
        <v>49</v>
      </c>
      <c r="H69" s="5" t="s">
        <v>5</v>
      </c>
      <c r="I69" s="15" t="s">
        <v>75</v>
      </c>
      <c r="J69" s="15" t="n">
        <v>0.67</v>
      </c>
      <c r="K69" s="15" t="n">
        <v>0.67</v>
      </c>
      <c r="L69" s="15" t="n">
        <v>0</v>
      </c>
      <c r="M69" s="26" t="n">
        <v>1</v>
      </c>
      <c r="N69" s="12" t="s">
        <v>39</v>
      </c>
      <c r="O69" s="13" t="s">
        <v>40</v>
      </c>
    </row>
    <row r="70" customFormat="false" ht="37.5" hidden="false" customHeight="true" outlineLevel="0" collapsed="false">
      <c r="A70" s="8" t="n">
        <v>68</v>
      </c>
      <c r="B70" s="24" t="s">
        <v>153</v>
      </c>
      <c r="C70" s="4" t="s">
        <v>216</v>
      </c>
      <c r="D70" s="4" t="s">
        <v>49</v>
      </c>
      <c r="E70" s="4" t="s">
        <v>221</v>
      </c>
      <c r="F70" s="4" t="s">
        <v>225</v>
      </c>
      <c r="G70" s="4" t="s">
        <v>49</v>
      </c>
      <c r="H70" s="4" t="s">
        <v>5</v>
      </c>
      <c r="I70" s="10" t="s">
        <v>65</v>
      </c>
      <c r="J70" s="10" t="n">
        <v>1</v>
      </c>
      <c r="K70" s="10" t="n">
        <v>1</v>
      </c>
      <c r="L70" s="10" t="n">
        <v>0</v>
      </c>
      <c r="M70" s="25" t="n">
        <v>1</v>
      </c>
      <c r="N70" s="12" t="s">
        <v>39</v>
      </c>
      <c r="O70" s="13" t="s">
        <v>40</v>
      </c>
    </row>
    <row r="71" customFormat="false" ht="37.5" hidden="false" customHeight="true" outlineLevel="0" collapsed="false">
      <c r="A71" s="14" t="n">
        <v>69</v>
      </c>
      <c r="B71" s="27" t="s">
        <v>128</v>
      </c>
      <c r="C71" s="5" t="s">
        <v>216</v>
      </c>
      <c r="D71" s="5" t="s">
        <v>100</v>
      </c>
      <c r="E71" s="5" t="s">
        <v>226</v>
      </c>
      <c r="F71" s="5" t="s">
        <v>227</v>
      </c>
      <c r="G71" s="5" t="s">
        <v>96</v>
      </c>
      <c r="H71" s="5" t="s">
        <v>5</v>
      </c>
      <c r="I71" s="15" t="s">
        <v>52</v>
      </c>
      <c r="J71" s="15" t="n">
        <v>0.75</v>
      </c>
      <c r="K71" s="15" t="n">
        <v>0.75</v>
      </c>
      <c r="L71" s="15" t="n">
        <v>0</v>
      </c>
      <c r="M71" s="26" t="n">
        <v>1</v>
      </c>
      <c r="N71" s="12" t="s">
        <v>39</v>
      </c>
      <c r="O71" s="13" t="s">
        <v>40</v>
      </c>
    </row>
    <row r="72" customFormat="false" ht="37.5" hidden="false" customHeight="true" outlineLevel="0" collapsed="false">
      <c r="A72" s="8" t="n">
        <v>70</v>
      </c>
      <c r="B72" s="27" t="s">
        <v>128</v>
      </c>
      <c r="C72" s="4" t="s">
        <v>216</v>
      </c>
      <c r="D72" s="4" t="s">
        <v>100</v>
      </c>
      <c r="E72" s="4" t="s">
        <v>228</v>
      </c>
      <c r="F72" s="4" t="s">
        <v>229</v>
      </c>
      <c r="G72" s="4" t="s">
        <v>96</v>
      </c>
      <c r="H72" s="4" t="s">
        <v>5</v>
      </c>
      <c r="I72" s="10" t="s">
        <v>92</v>
      </c>
      <c r="J72" s="10" t="n">
        <v>1.33</v>
      </c>
      <c r="K72" s="10" t="n">
        <v>1.33</v>
      </c>
      <c r="L72" s="10" t="n">
        <v>0</v>
      </c>
      <c r="M72" s="25" t="n">
        <v>1</v>
      </c>
      <c r="N72" s="12" t="s">
        <v>39</v>
      </c>
      <c r="O72" s="13" t="s">
        <v>40</v>
      </c>
    </row>
    <row r="73" customFormat="false" ht="37.5" hidden="false" customHeight="true" outlineLevel="0" collapsed="false">
      <c r="A73" s="14" t="n">
        <v>71</v>
      </c>
      <c r="B73" s="27" t="s">
        <v>128</v>
      </c>
      <c r="C73" s="5" t="s">
        <v>216</v>
      </c>
      <c r="D73" s="5" t="s">
        <v>100</v>
      </c>
      <c r="E73" s="5" t="s">
        <v>228</v>
      </c>
      <c r="F73" s="5" t="s">
        <v>230</v>
      </c>
      <c r="G73" s="5" t="s">
        <v>96</v>
      </c>
      <c r="H73" s="5" t="s">
        <v>5</v>
      </c>
      <c r="I73" s="15" t="s">
        <v>71</v>
      </c>
      <c r="J73" s="15" t="n">
        <v>0.83</v>
      </c>
      <c r="K73" s="15" t="n">
        <v>0.83</v>
      </c>
      <c r="L73" s="15" t="n">
        <v>0</v>
      </c>
      <c r="M73" s="26" t="n">
        <v>1</v>
      </c>
      <c r="N73" s="12" t="s">
        <v>39</v>
      </c>
      <c r="O73" s="13" t="s">
        <v>40</v>
      </c>
    </row>
    <row r="74" customFormat="false" ht="37.5" hidden="false" customHeight="true" outlineLevel="0" collapsed="false">
      <c r="A74" s="8" t="n">
        <v>72</v>
      </c>
      <c r="B74" s="27" t="s">
        <v>128</v>
      </c>
      <c r="C74" s="4" t="s">
        <v>216</v>
      </c>
      <c r="D74" s="4" t="s">
        <v>100</v>
      </c>
      <c r="E74" s="4" t="s">
        <v>231</v>
      </c>
      <c r="F74" s="4" t="s">
        <v>232</v>
      </c>
      <c r="G74" s="4" t="s">
        <v>96</v>
      </c>
      <c r="H74" s="4" t="s">
        <v>5</v>
      </c>
      <c r="I74" s="10" t="s">
        <v>82</v>
      </c>
      <c r="J74" s="10" t="n">
        <v>0.58</v>
      </c>
      <c r="K74" s="10" t="n">
        <v>0.58</v>
      </c>
      <c r="L74" s="10" t="n">
        <v>0</v>
      </c>
      <c r="M74" s="25" t="n">
        <v>1</v>
      </c>
      <c r="N74" s="12" t="s">
        <v>39</v>
      </c>
      <c r="O74" s="13" t="s">
        <v>40</v>
      </c>
    </row>
    <row r="75" customFormat="false" ht="37.5" hidden="false" customHeight="true" outlineLevel="0" collapsed="false">
      <c r="A75" s="14" t="n">
        <v>73</v>
      </c>
      <c r="B75" s="27" t="s">
        <v>128</v>
      </c>
      <c r="C75" s="5" t="s">
        <v>216</v>
      </c>
      <c r="D75" s="5" t="s">
        <v>100</v>
      </c>
      <c r="E75" s="5" t="s">
        <v>233</v>
      </c>
      <c r="F75" s="5" t="s">
        <v>234</v>
      </c>
      <c r="G75" s="5" t="s">
        <v>96</v>
      </c>
      <c r="H75" s="5" t="s">
        <v>5</v>
      </c>
      <c r="I75" s="15" t="s">
        <v>54</v>
      </c>
      <c r="J75" s="15" t="n">
        <v>0.5</v>
      </c>
      <c r="K75" s="15" t="n">
        <v>0.5</v>
      </c>
      <c r="L75" s="15" t="n">
        <v>0</v>
      </c>
      <c r="M75" s="26" t="n">
        <v>1</v>
      </c>
      <c r="N75" s="12" t="s">
        <v>39</v>
      </c>
      <c r="O75" s="13" t="s">
        <v>40</v>
      </c>
    </row>
    <row r="76" customFormat="false" ht="37.5" hidden="false" customHeight="true" outlineLevel="0" collapsed="false">
      <c r="A76" s="8" t="n">
        <v>74</v>
      </c>
      <c r="B76" s="27" t="s">
        <v>128</v>
      </c>
      <c r="C76" s="4" t="s">
        <v>216</v>
      </c>
      <c r="D76" s="4" t="s">
        <v>129</v>
      </c>
      <c r="E76" s="4" t="s">
        <v>235</v>
      </c>
      <c r="F76" s="4" t="s">
        <v>236</v>
      </c>
      <c r="G76" s="4" t="s">
        <v>129</v>
      </c>
      <c r="H76" s="4" t="s">
        <v>5</v>
      </c>
      <c r="I76" s="10" t="s">
        <v>237</v>
      </c>
      <c r="J76" s="10" t="n">
        <v>2</v>
      </c>
      <c r="K76" s="10" t="n">
        <v>3</v>
      </c>
      <c r="L76" s="10" t="n">
        <v>0</v>
      </c>
      <c r="M76" s="25" t="n">
        <v>1</v>
      </c>
      <c r="N76" s="12" t="s">
        <v>39</v>
      </c>
      <c r="O76" s="13" t="s">
        <v>40</v>
      </c>
    </row>
    <row r="77" customFormat="false" ht="37.5" hidden="false" customHeight="true" outlineLevel="0" collapsed="false">
      <c r="A77" s="14" t="n">
        <v>75</v>
      </c>
      <c r="B77" s="27" t="s">
        <v>128</v>
      </c>
      <c r="C77" s="5" t="s">
        <v>216</v>
      </c>
      <c r="D77" s="5" t="s">
        <v>129</v>
      </c>
      <c r="E77" s="5" t="s">
        <v>238</v>
      </c>
      <c r="F77" s="5" t="s">
        <v>239</v>
      </c>
      <c r="G77" s="5" t="s">
        <v>129</v>
      </c>
      <c r="H77" s="5" t="s">
        <v>5</v>
      </c>
      <c r="I77" s="15" t="s">
        <v>143</v>
      </c>
      <c r="J77" s="15" t="n">
        <v>1.25</v>
      </c>
      <c r="K77" s="15" t="n">
        <v>1.25</v>
      </c>
      <c r="L77" s="15" t="n">
        <v>0</v>
      </c>
      <c r="M77" s="26" t="n">
        <v>1</v>
      </c>
      <c r="N77" s="12" t="s">
        <v>39</v>
      </c>
      <c r="O77" s="13" t="s">
        <v>40</v>
      </c>
    </row>
    <row r="78" customFormat="false" ht="37.5" hidden="false" customHeight="true" outlineLevel="0" collapsed="false">
      <c r="A78" s="8" t="n">
        <v>76</v>
      </c>
      <c r="B78" s="27" t="s">
        <v>128</v>
      </c>
      <c r="C78" s="4" t="s">
        <v>216</v>
      </c>
      <c r="D78" s="4" t="s">
        <v>129</v>
      </c>
      <c r="E78" s="4" t="s">
        <v>240</v>
      </c>
      <c r="F78" s="4" t="s">
        <v>241</v>
      </c>
      <c r="G78" s="4" t="s">
        <v>129</v>
      </c>
      <c r="H78" s="4" t="s">
        <v>5</v>
      </c>
      <c r="I78" s="10" t="s">
        <v>65</v>
      </c>
      <c r="J78" s="10" t="n">
        <v>1</v>
      </c>
      <c r="K78" s="10" t="n">
        <v>1</v>
      </c>
      <c r="L78" s="10" t="n">
        <v>0</v>
      </c>
      <c r="M78" s="25" t="n">
        <v>1</v>
      </c>
      <c r="N78" s="12" t="s">
        <v>39</v>
      </c>
      <c r="O78" s="13" t="s">
        <v>40</v>
      </c>
    </row>
    <row r="79" customFormat="false" ht="37.5" hidden="false" customHeight="true" outlineLevel="0" collapsed="false">
      <c r="A79" s="14" t="n">
        <v>77</v>
      </c>
      <c r="B79" s="27" t="s">
        <v>128</v>
      </c>
      <c r="C79" s="5" t="s">
        <v>216</v>
      </c>
      <c r="D79" s="5" t="s">
        <v>129</v>
      </c>
      <c r="E79" s="5" t="s">
        <v>242</v>
      </c>
      <c r="F79" s="5" t="s">
        <v>243</v>
      </c>
      <c r="G79" s="5" t="s">
        <v>129</v>
      </c>
      <c r="H79" s="5" t="s">
        <v>5</v>
      </c>
      <c r="I79" s="15" t="s">
        <v>244</v>
      </c>
      <c r="J79" s="15" t="n">
        <v>3</v>
      </c>
      <c r="K79" s="15" t="n">
        <v>5</v>
      </c>
      <c r="L79" s="15" t="n">
        <v>0</v>
      </c>
      <c r="M79" s="26" t="n">
        <v>1</v>
      </c>
      <c r="N79" s="12" t="s">
        <v>39</v>
      </c>
      <c r="O79" s="13" t="s">
        <v>40</v>
      </c>
    </row>
    <row r="80" customFormat="false" ht="37.5" hidden="false" customHeight="true" outlineLevel="0" collapsed="false"/>
  </sheetData>
  <mergeCells count="2">
    <mergeCell ref="A1:O1"/>
    <mergeCell ref="A65:O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37" min="2" style="1" width="9"/>
  </cols>
  <sheetData>
    <row r="1" customFormat="false" ht="39.75" hidden="false" customHeight="true" outlineLevel="0" collapsed="false">
      <c r="A1" s="28" t="s">
        <v>17</v>
      </c>
      <c r="B1" s="28" t="s">
        <v>245</v>
      </c>
      <c r="C1" s="29" t="n">
        <v>46035</v>
      </c>
      <c r="D1" s="29" t="n">
        <v>46036</v>
      </c>
      <c r="E1" s="29" t="n">
        <v>46037</v>
      </c>
      <c r="F1" s="29" t="n">
        <v>46038</v>
      </c>
      <c r="G1" s="29" t="n">
        <v>46039</v>
      </c>
      <c r="H1" s="29" t="n">
        <v>46040</v>
      </c>
      <c r="I1" s="29" t="n">
        <v>46041</v>
      </c>
      <c r="J1" s="29" t="n">
        <v>46042</v>
      </c>
      <c r="K1" s="29" t="n">
        <v>46043</v>
      </c>
      <c r="L1" s="29" t="n">
        <v>46044</v>
      </c>
      <c r="M1" s="29" t="n">
        <v>46045</v>
      </c>
      <c r="N1" s="29" t="n">
        <v>46046</v>
      </c>
      <c r="O1" s="29" t="n">
        <v>46047</v>
      </c>
      <c r="P1" s="29" t="n">
        <v>46048</v>
      </c>
      <c r="Q1" s="29" t="n">
        <v>46049</v>
      </c>
      <c r="R1" s="29" t="n">
        <v>46050</v>
      </c>
      <c r="S1" s="29" t="n">
        <v>46051</v>
      </c>
      <c r="T1" s="29" t="n">
        <v>46052</v>
      </c>
      <c r="U1" s="29" t="n">
        <v>46053</v>
      </c>
      <c r="V1" s="29" t="n">
        <v>46054</v>
      </c>
      <c r="W1" s="29" t="n">
        <v>46055</v>
      </c>
      <c r="X1" s="29" t="n">
        <v>46056</v>
      </c>
      <c r="Y1" s="29" t="n">
        <v>46057</v>
      </c>
      <c r="Z1" s="29" t="n">
        <v>46058</v>
      </c>
      <c r="AA1" s="29" t="n">
        <v>46059</v>
      </c>
      <c r="AB1" s="29" t="n">
        <v>46060</v>
      </c>
      <c r="AC1" s="29" t="n">
        <v>46061</v>
      </c>
      <c r="AD1" s="29" t="n">
        <v>46062</v>
      </c>
      <c r="AE1" s="29" t="n">
        <v>46063</v>
      </c>
      <c r="AF1" s="29" t="n">
        <v>46064</v>
      </c>
      <c r="AG1" s="29" t="n">
        <v>46065</v>
      </c>
      <c r="AH1" s="29" t="n">
        <v>46066</v>
      </c>
      <c r="AI1" s="29" t="n">
        <v>46067</v>
      </c>
      <c r="AJ1" s="29" t="n">
        <v>46068</v>
      </c>
      <c r="AK1" s="30" t="n">
        <v>46071</v>
      </c>
    </row>
    <row r="2" customFormat="false" ht="15.75" hidden="false" customHeight="true" outlineLevel="0" collapsed="false">
      <c r="A2" s="31" t="n">
        <v>1</v>
      </c>
      <c r="B2" s="31" t="n">
        <f aca="false">SUM(C2:AJ2)</f>
        <v>1.5</v>
      </c>
      <c r="C2" s="31" t="n">
        <v>0.75</v>
      </c>
      <c r="D2" s="31" t="n">
        <v>0.75</v>
      </c>
      <c r="E2" s="31" t="n">
        <v>0</v>
      </c>
      <c r="F2" s="31" t="n">
        <v>0</v>
      </c>
      <c r="G2" s="31" t="n">
        <v>0</v>
      </c>
      <c r="H2" s="31" t="n">
        <v>0</v>
      </c>
      <c r="I2" s="31" t="n">
        <v>0</v>
      </c>
      <c r="J2" s="31" t="n">
        <v>0</v>
      </c>
      <c r="K2" s="31" t="n">
        <v>0</v>
      </c>
      <c r="L2" s="31" t="n">
        <v>0</v>
      </c>
      <c r="M2" s="31" t="n">
        <v>0</v>
      </c>
      <c r="N2" s="31" t="n">
        <v>0</v>
      </c>
      <c r="O2" s="31" t="n">
        <v>0</v>
      </c>
      <c r="P2" s="31" t="n">
        <v>0</v>
      </c>
      <c r="Q2" s="31" t="n">
        <v>0</v>
      </c>
      <c r="R2" s="31" t="n">
        <v>0</v>
      </c>
      <c r="S2" s="31" t="n">
        <v>0</v>
      </c>
      <c r="T2" s="31" t="n">
        <v>0</v>
      </c>
      <c r="U2" s="31" t="n">
        <v>0</v>
      </c>
      <c r="V2" s="31" t="n">
        <v>0</v>
      </c>
      <c r="W2" s="31" t="n">
        <v>0</v>
      </c>
      <c r="X2" s="31" t="n">
        <v>0</v>
      </c>
      <c r="Y2" s="31" t="n">
        <v>0</v>
      </c>
      <c r="Z2" s="31" t="n">
        <v>0</v>
      </c>
      <c r="AA2" s="31" t="n">
        <v>0</v>
      </c>
      <c r="AB2" s="31" t="n">
        <v>0</v>
      </c>
      <c r="AC2" s="31" t="n">
        <v>0</v>
      </c>
      <c r="AD2" s="31" t="n">
        <v>0</v>
      </c>
      <c r="AE2" s="31" t="n">
        <v>0</v>
      </c>
      <c r="AF2" s="31" t="n">
        <v>0</v>
      </c>
      <c r="AG2" s="31" t="n">
        <v>0</v>
      </c>
      <c r="AH2" s="31" t="n">
        <v>0</v>
      </c>
      <c r="AI2" s="31" t="n">
        <v>0</v>
      </c>
      <c r="AJ2" s="31" t="n">
        <v>0</v>
      </c>
      <c r="AK2" s="31"/>
    </row>
    <row r="3" customFormat="false" ht="15.75" hidden="false" customHeight="true" outlineLevel="0" collapsed="false">
      <c r="A3" s="32" t="n">
        <v>2</v>
      </c>
      <c r="B3" s="32" t="n">
        <f aca="false">SUM(C3:AJ3)</f>
        <v>2</v>
      </c>
      <c r="C3" s="32" t="n">
        <v>1</v>
      </c>
      <c r="D3" s="32" t="n">
        <v>1</v>
      </c>
      <c r="E3" s="32" t="n">
        <v>0</v>
      </c>
      <c r="F3" s="32" t="n">
        <v>0</v>
      </c>
      <c r="G3" s="32" t="n">
        <v>0</v>
      </c>
      <c r="H3" s="32" t="n">
        <v>0</v>
      </c>
      <c r="I3" s="32" t="n">
        <v>0</v>
      </c>
      <c r="J3" s="32" t="n">
        <v>0</v>
      </c>
      <c r="K3" s="32" t="n">
        <v>0</v>
      </c>
      <c r="L3" s="32" t="n">
        <v>0</v>
      </c>
      <c r="M3" s="32" t="n">
        <v>0</v>
      </c>
      <c r="N3" s="32" t="n">
        <v>0</v>
      </c>
      <c r="O3" s="32" t="n">
        <v>0</v>
      </c>
      <c r="P3" s="32" t="n">
        <v>0</v>
      </c>
      <c r="Q3" s="32" t="n">
        <v>0</v>
      </c>
      <c r="R3" s="32" t="n">
        <v>0</v>
      </c>
      <c r="S3" s="32" t="n">
        <v>0</v>
      </c>
      <c r="T3" s="32" t="n">
        <v>0</v>
      </c>
      <c r="U3" s="32" t="n">
        <v>0</v>
      </c>
      <c r="V3" s="32" t="n">
        <v>0</v>
      </c>
      <c r="W3" s="32" t="n">
        <v>0</v>
      </c>
      <c r="X3" s="32" t="n">
        <v>0</v>
      </c>
      <c r="Y3" s="32" t="n">
        <v>0</v>
      </c>
      <c r="Z3" s="32" t="n">
        <v>0</v>
      </c>
      <c r="AA3" s="32" t="n">
        <v>0</v>
      </c>
      <c r="AB3" s="32" t="n">
        <v>0</v>
      </c>
      <c r="AC3" s="32" t="n">
        <v>0</v>
      </c>
      <c r="AD3" s="32" t="n">
        <v>0</v>
      </c>
      <c r="AE3" s="32" t="n">
        <v>0</v>
      </c>
      <c r="AF3" s="32" t="n">
        <v>0</v>
      </c>
      <c r="AG3" s="32" t="n">
        <v>0</v>
      </c>
      <c r="AH3" s="32" t="n">
        <v>0</v>
      </c>
      <c r="AI3" s="32" t="n">
        <v>0</v>
      </c>
      <c r="AJ3" s="32" t="n">
        <v>0</v>
      </c>
      <c r="AK3" s="32"/>
    </row>
    <row r="4" customFormat="false" ht="15.75" hidden="false" customHeight="true" outlineLevel="0" collapsed="false">
      <c r="A4" s="31" t="n">
        <v>3</v>
      </c>
      <c r="B4" s="31" t="n">
        <f aca="false">SUM(C4:AJ4)</f>
        <v>0.34</v>
      </c>
      <c r="C4" s="31" t="n">
        <v>0.17</v>
      </c>
      <c r="D4" s="31" t="n">
        <v>0.17</v>
      </c>
      <c r="E4" s="31" t="n">
        <v>0</v>
      </c>
      <c r="F4" s="31" t="n">
        <v>0</v>
      </c>
      <c r="G4" s="31" t="n">
        <v>0</v>
      </c>
      <c r="H4" s="31" t="n">
        <v>0</v>
      </c>
      <c r="I4" s="31" t="n">
        <v>0</v>
      </c>
      <c r="J4" s="31" t="n">
        <v>0</v>
      </c>
      <c r="K4" s="31" t="n">
        <v>0</v>
      </c>
      <c r="L4" s="31" t="n">
        <v>0</v>
      </c>
      <c r="M4" s="31" t="n">
        <v>0</v>
      </c>
      <c r="N4" s="31" t="n">
        <v>0</v>
      </c>
      <c r="O4" s="31" t="n">
        <v>0</v>
      </c>
      <c r="P4" s="31" t="n">
        <v>0</v>
      </c>
      <c r="Q4" s="31" t="n">
        <v>0</v>
      </c>
      <c r="R4" s="31" t="n">
        <v>0</v>
      </c>
      <c r="S4" s="31" t="n">
        <v>0</v>
      </c>
      <c r="T4" s="31" t="n">
        <v>0</v>
      </c>
      <c r="U4" s="31" t="n">
        <v>0</v>
      </c>
      <c r="V4" s="31" t="n">
        <v>0</v>
      </c>
      <c r="W4" s="31" t="n">
        <v>0</v>
      </c>
      <c r="X4" s="31" t="n">
        <v>0</v>
      </c>
      <c r="Y4" s="31" t="n">
        <v>0</v>
      </c>
      <c r="Z4" s="31" t="n">
        <v>0</v>
      </c>
      <c r="AA4" s="31" t="n">
        <v>0</v>
      </c>
      <c r="AB4" s="31" t="n">
        <v>0</v>
      </c>
      <c r="AC4" s="31" t="n">
        <v>0</v>
      </c>
      <c r="AD4" s="31" t="n">
        <v>0</v>
      </c>
      <c r="AE4" s="31" t="n">
        <v>0</v>
      </c>
      <c r="AF4" s="31" t="n">
        <v>0</v>
      </c>
      <c r="AG4" s="31" t="n">
        <v>0</v>
      </c>
      <c r="AH4" s="31" t="n">
        <v>0</v>
      </c>
      <c r="AI4" s="31" t="n">
        <v>0</v>
      </c>
      <c r="AJ4" s="31" t="n">
        <v>0</v>
      </c>
      <c r="AK4" s="31"/>
    </row>
    <row r="5" customFormat="false" ht="15.75" hidden="false" customHeight="true" outlineLevel="0" collapsed="false">
      <c r="A5" s="32" t="n">
        <v>4</v>
      </c>
      <c r="B5" s="32" t="n">
        <f aca="false">SUM(C5:AJ5)</f>
        <v>0.76</v>
      </c>
      <c r="C5" s="32" t="n">
        <v>0.38</v>
      </c>
      <c r="D5" s="32" t="n">
        <v>0.38</v>
      </c>
      <c r="E5" s="32" t="n">
        <v>0</v>
      </c>
      <c r="F5" s="32" t="n">
        <v>0</v>
      </c>
      <c r="G5" s="32" t="n">
        <v>0</v>
      </c>
      <c r="H5" s="32" t="n">
        <v>0</v>
      </c>
      <c r="I5" s="32" t="n">
        <v>0</v>
      </c>
      <c r="J5" s="32" t="n">
        <v>0</v>
      </c>
      <c r="K5" s="32" t="n">
        <v>0</v>
      </c>
      <c r="L5" s="32" t="n">
        <v>0</v>
      </c>
      <c r="M5" s="32" t="n">
        <v>0</v>
      </c>
      <c r="N5" s="32" t="n">
        <v>0</v>
      </c>
      <c r="O5" s="32" t="n">
        <v>0</v>
      </c>
      <c r="P5" s="32" t="n">
        <v>0</v>
      </c>
      <c r="Q5" s="32" t="n">
        <v>0</v>
      </c>
      <c r="R5" s="32" t="n">
        <v>0</v>
      </c>
      <c r="S5" s="32" t="n">
        <v>0</v>
      </c>
      <c r="T5" s="32" t="n">
        <v>0</v>
      </c>
      <c r="U5" s="32" t="n">
        <v>0</v>
      </c>
      <c r="V5" s="32" t="n">
        <v>0</v>
      </c>
      <c r="W5" s="32" t="n">
        <v>0</v>
      </c>
      <c r="X5" s="32" t="n">
        <v>0</v>
      </c>
      <c r="Y5" s="32" t="n">
        <v>0</v>
      </c>
      <c r="Z5" s="32" t="n">
        <v>0</v>
      </c>
      <c r="AA5" s="32" t="n">
        <v>0</v>
      </c>
      <c r="AB5" s="32" t="n">
        <v>0</v>
      </c>
      <c r="AC5" s="32" t="n">
        <v>0</v>
      </c>
      <c r="AD5" s="32" t="n">
        <v>0</v>
      </c>
      <c r="AE5" s="32" t="n">
        <v>0</v>
      </c>
      <c r="AF5" s="32" t="n">
        <v>0</v>
      </c>
      <c r="AG5" s="32" t="n">
        <v>0</v>
      </c>
      <c r="AH5" s="32" t="n">
        <v>0</v>
      </c>
      <c r="AI5" s="32" t="n">
        <v>0</v>
      </c>
      <c r="AJ5" s="32" t="n">
        <v>0</v>
      </c>
      <c r="AK5" s="32"/>
    </row>
    <row r="6" customFormat="false" ht="15.75" hidden="false" customHeight="true" outlineLevel="0" collapsed="false">
      <c r="A6" s="31" t="n">
        <v>5</v>
      </c>
      <c r="B6" s="31" t="n">
        <f aca="false">SUM(C6:AJ6)</f>
        <v>0.5</v>
      </c>
      <c r="C6" s="31" t="n">
        <v>0.25</v>
      </c>
      <c r="D6" s="31" t="n">
        <v>0.25</v>
      </c>
      <c r="E6" s="31" t="n">
        <v>0</v>
      </c>
      <c r="F6" s="31" t="n">
        <v>0</v>
      </c>
      <c r="G6" s="31" t="n">
        <v>0</v>
      </c>
      <c r="H6" s="31" t="n">
        <v>0</v>
      </c>
      <c r="I6" s="31" t="n">
        <v>0</v>
      </c>
      <c r="J6" s="31" t="n">
        <v>0</v>
      </c>
      <c r="K6" s="31" t="n">
        <v>0</v>
      </c>
      <c r="L6" s="31" t="n">
        <v>0</v>
      </c>
      <c r="M6" s="31" t="n">
        <v>0</v>
      </c>
      <c r="N6" s="31" t="n">
        <v>0</v>
      </c>
      <c r="O6" s="31" t="n">
        <v>0</v>
      </c>
      <c r="P6" s="31" t="n">
        <v>0</v>
      </c>
      <c r="Q6" s="31" t="n">
        <v>0</v>
      </c>
      <c r="R6" s="31" t="n">
        <v>0</v>
      </c>
      <c r="S6" s="31" t="n">
        <v>0</v>
      </c>
      <c r="T6" s="31" t="n">
        <v>0</v>
      </c>
      <c r="U6" s="31" t="n">
        <v>0</v>
      </c>
      <c r="V6" s="31" t="n">
        <v>0</v>
      </c>
      <c r="W6" s="31" t="n">
        <v>0</v>
      </c>
      <c r="X6" s="31" t="n">
        <v>0</v>
      </c>
      <c r="Y6" s="31" t="n">
        <v>0</v>
      </c>
      <c r="Z6" s="31" t="n">
        <v>0</v>
      </c>
      <c r="AA6" s="31" t="n">
        <v>0</v>
      </c>
      <c r="AB6" s="31" t="n">
        <v>0</v>
      </c>
      <c r="AC6" s="31" t="n">
        <v>0</v>
      </c>
      <c r="AD6" s="31" t="n">
        <v>0</v>
      </c>
      <c r="AE6" s="31" t="n">
        <v>0</v>
      </c>
      <c r="AF6" s="31" t="n">
        <v>0</v>
      </c>
      <c r="AG6" s="31" t="n">
        <v>0</v>
      </c>
      <c r="AH6" s="31" t="n">
        <v>0</v>
      </c>
      <c r="AI6" s="31" t="n">
        <v>0</v>
      </c>
      <c r="AJ6" s="31" t="n">
        <v>0</v>
      </c>
      <c r="AK6" s="31"/>
    </row>
    <row r="7" customFormat="false" ht="15.75" hidden="false" customHeight="true" outlineLevel="0" collapsed="false">
      <c r="A7" s="32" t="n">
        <v>6</v>
      </c>
      <c r="B7" s="32" t="n">
        <f aca="false">SUM(C7:AJ7)</f>
        <v>0.42</v>
      </c>
      <c r="C7" s="32" t="n">
        <v>0.21</v>
      </c>
      <c r="D7" s="32" t="n">
        <v>0.21</v>
      </c>
      <c r="E7" s="32" t="n">
        <v>0</v>
      </c>
      <c r="F7" s="32" t="n">
        <v>0</v>
      </c>
      <c r="G7" s="32" t="n">
        <v>0</v>
      </c>
      <c r="H7" s="32" t="n">
        <v>0</v>
      </c>
      <c r="I7" s="32" t="n">
        <v>0</v>
      </c>
      <c r="J7" s="32" t="n">
        <v>0</v>
      </c>
      <c r="K7" s="32" t="n">
        <v>0</v>
      </c>
      <c r="L7" s="32" t="n">
        <v>0</v>
      </c>
      <c r="M7" s="32" t="n">
        <v>0</v>
      </c>
      <c r="N7" s="32" t="n">
        <v>0</v>
      </c>
      <c r="O7" s="32" t="n">
        <v>0</v>
      </c>
      <c r="P7" s="32" t="n">
        <v>0</v>
      </c>
      <c r="Q7" s="32" t="n">
        <v>0</v>
      </c>
      <c r="R7" s="32" t="n">
        <v>0</v>
      </c>
      <c r="S7" s="32" t="n">
        <v>0</v>
      </c>
      <c r="T7" s="32" t="n">
        <v>0</v>
      </c>
      <c r="U7" s="32" t="n">
        <v>0</v>
      </c>
      <c r="V7" s="32" t="n">
        <v>0</v>
      </c>
      <c r="W7" s="32" t="n">
        <v>0</v>
      </c>
      <c r="X7" s="32" t="n">
        <v>0</v>
      </c>
      <c r="Y7" s="32" t="n">
        <v>0</v>
      </c>
      <c r="Z7" s="32" t="n">
        <v>0</v>
      </c>
      <c r="AA7" s="32" t="n">
        <v>0</v>
      </c>
      <c r="AB7" s="32" t="n">
        <v>0</v>
      </c>
      <c r="AC7" s="32" t="n">
        <v>0</v>
      </c>
      <c r="AD7" s="32" t="n">
        <v>0</v>
      </c>
      <c r="AE7" s="32" t="n">
        <v>0</v>
      </c>
      <c r="AF7" s="32" t="n">
        <v>0</v>
      </c>
      <c r="AG7" s="32" t="n">
        <v>0</v>
      </c>
      <c r="AH7" s="32" t="n">
        <v>0</v>
      </c>
      <c r="AI7" s="32" t="n">
        <v>0</v>
      </c>
      <c r="AJ7" s="32" t="n">
        <v>0</v>
      </c>
      <c r="AK7" s="32"/>
    </row>
    <row r="8" customFormat="false" ht="15.75" hidden="false" customHeight="true" outlineLevel="0" collapsed="false">
      <c r="A8" s="31" t="n">
        <v>7</v>
      </c>
      <c r="B8" s="31" t="n">
        <f aca="false">SUM(C8:AJ8)</f>
        <v>0.24</v>
      </c>
      <c r="C8" s="31" t="n">
        <v>0.12</v>
      </c>
      <c r="D8" s="31" t="n">
        <v>0.12</v>
      </c>
      <c r="E8" s="31" t="n">
        <v>0</v>
      </c>
      <c r="F8" s="31" t="n">
        <v>0</v>
      </c>
      <c r="G8" s="31" t="n">
        <v>0</v>
      </c>
      <c r="H8" s="31" t="n">
        <v>0</v>
      </c>
      <c r="I8" s="31" t="n">
        <v>0</v>
      </c>
      <c r="J8" s="31" t="n">
        <v>0</v>
      </c>
      <c r="K8" s="31" t="n">
        <v>0</v>
      </c>
      <c r="L8" s="31" t="n">
        <v>0</v>
      </c>
      <c r="M8" s="31" t="n">
        <v>0</v>
      </c>
      <c r="N8" s="31" t="n">
        <v>0</v>
      </c>
      <c r="O8" s="31" t="n">
        <v>0</v>
      </c>
      <c r="P8" s="31" t="n">
        <v>0</v>
      </c>
      <c r="Q8" s="31" t="n">
        <v>0</v>
      </c>
      <c r="R8" s="31" t="n">
        <v>0</v>
      </c>
      <c r="S8" s="31" t="n">
        <v>0</v>
      </c>
      <c r="T8" s="31" t="n">
        <v>0</v>
      </c>
      <c r="U8" s="31" t="n">
        <v>0</v>
      </c>
      <c r="V8" s="31" t="n">
        <v>0</v>
      </c>
      <c r="W8" s="31" t="n">
        <v>0</v>
      </c>
      <c r="X8" s="31" t="n">
        <v>0</v>
      </c>
      <c r="Y8" s="31" t="n">
        <v>0</v>
      </c>
      <c r="Z8" s="31" t="n">
        <v>0</v>
      </c>
      <c r="AA8" s="31" t="n">
        <v>0</v>
      </c>
      <c r="AB8" s="31" t="n">
        <v>0</v>
      </c>
      <c r="AC8" s="31" t="n">
        <v>0</v>
      </c>
      <c r="AD8" s="31" t="n">
        <v>0</v>
      </c>
      <c r="AE8" s="31" t="n">
        <v>0</v>
      </c>
      <c r="AF8" s="31" t="n">
        <v>0</v>
      </c>
      <c r="AG8" s="31" t="n">
        <v>0</v>
      </c>
      <c r="AH8" s="31" t="n">
        <v>0</v>
      </c>
      <c r="AI8" s="31" t="n">
        <v>0</v>
      </c>
      <c r="AJ8" s="31" t="n">
        <v>0</v>
      </c>
      <c r="AK8" s="31"/>
    </row>
    <row r="9" customFormat="false" ht="15.75" hidden="false" customHeight="true" outlineLevel="0" collapsed="false">
      <c r="A9" s="32" t="n">
        <v>8</v>
      </c>
      <c r="B9" s="32" t="n">
        <f aca="false">SUM(C9:AJ9)</f>
        <v>0.34</v>
      </c>
      <c r="C9" s="32" t="n">
        <v>0.17</v>
      </c>
      <c r="D9" s="32" t="n">
        <v>0.17</v>
      </c>
      <c r="E9" s="32" t="n">
        <v>0</v>
      </c>
      <c r="F9" s="32" t="n">
        <v>0</v>
      </c>
      <c r="G9" s="32" t="n">
        <v>0</v>
      </c>
      <c r="H9" s="32" t="n">
        <v>0</v>
      </c>
      <c r="I9" s="32" t="n">
        <v>0</v>
      </c>
      <c r="J9" s="32" t="n">
        <v>0</v>
      </c>
      <c r="K9" s="32" t="n">
        <v>0</v>
      </c>
      <c r="L9" s="32" t="n">
        <v>0</v>
      </c>
      <c r="M9" s="32" t="n">
        <v>0</v>
      </c>
      <c r="N9" s="32" t="n">
        <v>0</v>
      </c>
      <c r="O9" s="32" t="n">
        <v>0</v>
      </c>
      <c r="P9" s="32" t="n">
        <v>0</v>
      </c>
      <c r="Q9" s="32" t="n">
        <v>0</v>
      </c>
      <c r="R9" s="32" t="n">
        <v>0</v>
      </c>
      <c r="S9" s="32" t="n">
        <v>0</v>
      </c>
      <c r="T9" s="32" t="n">
        <v>0</v>
      </c>
      <c r="U9" s="32" t="n">
        <v>0</v>
      </c>
      <c r="V9" s="32" t="n">
        <v>0</v>
      </c>
      <c r="W9" s="32" t="n">
        <v>0</v>
      </c>
      <c r="X9" s="32" t="n">
        <v>0</v>
      </c>
      <c r="Y9" s="32" t="n">
        <v>0</v>
      </c>
      <c r="Z9" s="32" t="n">
        <v>0</v>
      </c>
      <c r="AA9" s="32" t="n">
        <v>0</v>
      </c>
      <c r="AB9" s="32" t="n">
        <v>0</v>
      </c>
      <c r="AC9" s="32" t="n">
        <v>0</v>
      </c>
      <c r="AD9" s="32" t="n">
        <v>0</v>
      </c>
      <c r="AE9" s="32" t="n">
        <v>0</v>
      </c>
      <c r="AF9" s="32" t="n">
        <v>0</v>
      </c>
      <c r="AG9" s="32" t="n">
        <v>0</v>
      </c>
      <c r="AH9" s="32" t="n">
        <v>0</v>
      </c>
      <c r="AI9" s="32" t="n">
        <v>0</v>
      </c>
      <c r="AJ9" s="32" t="n">
        <v>0</v>
      </c>
      <c r="AK9" s="32"/>
    </row>
    <row r="10" customFormat="false" ht="15.75" hidden="false" customHeight="true" outlineLevel="0" collapsed="false">
      <c r="A10" s="31" t="n">
        <v>9</v>
      </c>
      <c r="B10" s="31" t="n">
        <f aca="false">SUM(C10:AJ10)</f>
        <v>1</v>
      </c>
      <c r="C10" s="31" t="n">
        <v>0.5</v>
      </c>
      <c r="D10" s="31" t="n">
        <v>0.5</v>
      </c>
      <c r="E10" s="31" t="n">
        <v>0</v>
      </c>
      <c r="F10" s="31" t="n">
        <v>0</v>
      </c>
      <c r="G10" s="31" t="n">
        <v>0</v>
      </c>
      <c r="H10" s="31" t="n">
        <v>0</v>
      </c>
      <c r="I10" s="31" t="n">
        <v>0</v>
      </c>
      <c r="J10" s="31" t="n">
        <v>0</v>
      </c>
      <c r="K10" s="31" t="n">
        <v>0</v>
      </c>
      <c r="L10" s="31" t="n">
        <v>0</v>
      </c>
      <c r="M10" s="31" t="n">
        <v>0</v>
      </c>
      <c r="N10" s="31" t="n">
        <v>0</v>
      </c>
      <c r="O10" s="31" t="n">
        <v>0</v>
      </c>
      <c r="P10" s="31" t="n">
        <v>0</v>
      </c>
      <c r="Q10" s="31" t="n">
        <v>0</v>
      </c>
      <c r="R10" s="31" t="n">
        <v>0</v>
      </c>
      <c r="S10" s="31" t="n">
        <v>0</v>
      </c>
      <c r="T10" s="31" t="n">
        <v>0</v>
      </c>
      <c r="U10" s="31" t="n">
        <v>0</v>
      </c>
      <c r="V10" s="31" t="n">
        <v>0</v>
      </c>
      <c r="W10" s="31" t="n">
        <v>0</v>
      </c>
      <c r="X10" s="31" t="n">
        <v>0</v>
      </c>
      <c r="Y10" s="31" t="n">
        <v>0</v>
      </c>
      <c r="Z10" s="31" t="n">
        <v>0</v>
      </c>
      <c r="AA10" s="31" t="n">
        <v>0</v>
      </c>
      <c r="AB10" s="31" t="n">
        <v>0</v>
      </c>
      <c r="AC10" s="31" t="n">
        <v>0</v>
      </c>
      <c r="AD10" s="31" t="n">
        <v>0</v>
      </c>
      <c r="AE10" s="31" t="n">
        <v>0</v>
      </c>
      <c r="AF10" s="31" t="n">
        <v>0</v>
      </c>
      <c r="AG10" s="31" t="n">
        <v>0</v>
      </c>
      <c r="AH10" s="31" t="n">
        <v>0</v>
      </c>
      <c r="AI10" s="31" t="n">
        <v>0</v>
      </c>
      <c r="AJ10" s="31" t="n">
        <v>0</v>
      </c>
      <c r="AK10" s="31"/>
    </row>
    <row r="11" customFormat="false" ht="15.75" hidden="false" customHeight="true" outlineLevel="0" collapsed="false">
      <c r="A11" s="32" t="n">
        <v>10</v>
      </c>
      <c r="B11" s="32" t="n">
        <f aca="false">SUM(C11:AJ11)</f>
        <v>1.5</v>
      </c>
      <c r="C11" s="32" t="n">
        <v>0.75</v>
      </c>
      <c r="D11" s="32" t="n">
        <v>0.75</v>
      </c>
      <c r="E11" s="32" t="n">
        <v>0</v>
      </c>
      <c r="F11" s="32" t="n">
        <v>0</v>
      </c>
      <c r="G11" s="32" t="n">
        <v>0</v>
      </c>
      <c r="H11" s="32" t="n">
        <v>0</v>
      </c>
      <c r="I11" s="32" t="n">
        <v>0</v>
      </c>
      <c r="J11" s="32" t="n">
        <v>0</v>
      </c>
      <c r="K11" s="32" t="n">
        <v>0</v>
      </c>
      <c r="L11" s="32" t="n">
        <v>0</v>
      </c>
      <c r="M11" s="32" t="n">
        <v>0</v>
      </c>
      <c r="N11" s="32" t="n">
        <v>0</v>
      </c>
      <c r="O11" s="32" t="n">
        <v>0</v>
      </c>
      <c r="P11" s="32" t="n">
        <v>0</v>
      </c>
      <c r="Q11" s="32" t="n">
        <v>0</v>
      </c>
      <c r="R11" s="32" t="n">
        <v>0</v>
      </c>
      <c r="S11" s="32" t="n">
        <v>0</v>
      </c>
      <c r="T11" s="32" t="n">
        <v>0</v>
      </c>
      <c r="U11" s="32" t="n">
        <v>0</v>
      </c>
      <c r="V11" s="32" t="n">
        <v>0</v>
      </c>
      <c r="W11" s="32" t="n">
        <v>0</v>
      </c>
      <c r="X11" s="32" t="n">
        <v>0</v>
      </c>
      <c r="Y11" s="32" t="n">
        <v>0</v>
      </c>
      <c r="Z11" s="32" t="n">
        <v>0</v>
      </c>
      <c r="AA11" s="32" t="n">
        <v>0</v>
      </c>
      <c r="AB11" s="32" t="n">
        <v>0</v>
      </c>
      <c r="AC11" s="32" t="n">
        <v>0</v>
      </c>
      <c r="AD11" s="32" t="n">
        <v>0</v>
      </c>
      <c r="AE11" s="32" t="n">
        <v>0</v>
      </c>
      <c r="AF11" s="32" t="n">
        <v>0</v>
      </c>
      <c r="AG11" s="32" t="n">
        <v>0</v>
      </c>
      <c r="AH11" s="32" t="n">
        <v>0</v>
      </c>
      <c r="AI11" s="32" t="n">
        <v>0</v>
      </c>
      <c r="AJ11" s="32" t="n">
        <v>0</v>
      </c>
      <c r="AK11" s="32"/>
    </row>
    <row r="12" customFormat="false" ht="15.75" hidden="false" customHeight="true" outlineLevel="0" collapsed="false">
      <c r="A12" s="31" t="n">
        <v>11</v>
      </c>
      <c r="B12" s="31" t="n">
        <f aca="false">SUM(C12:AJ12)</f>
        <v>0.82</v>
      </c>
      <c r="C12" s="31" t="n">
        <v>0.41</v>
      </c>
      <c r="D12" s="31" t="n">
        <v>0.41</v>
      </c>
      <c r="E12" s="31" t="n">
        <v>0</v>
      </c>
      <c r="F12" s="31" t="n">
        <v>0</v>
      </c>
      <c r="G12" s="31" t="n">
        <v>0</v>
      </c>
      <c r="H12" s="31" t="n">
        <v>0</v>
      </c>
      <c r="I12" s="31" t="n">
        <v>0</v>
      </c>
      <c r="J12" s="31" t="n">
        <v>0</v>
      </c>
      <c r="K12" s="31" t="n">
        <v>0</v>
      </c>
      <c r="L12" s="31" t="n">
        <v>0</v>
      </c>
      <c r="M12" s="31" t="n">
        <v>0</v>
      </c>
      <c r="N12" s="31" t="n">
        <v>0</v>
      </c>
      <c r="O12" s="31" t="n">
        <v>0</v>
      </c>
      <c r="P12" s="31" t="n">
        <v>0</v>
      </c>
      <c r="Q12" s="31" t="n">
        <v>0</v>
      </c>
      <c r="R12" s="31" t="n">
        <v>0</v>
      </c>
      <c r="S12" s="31" t="n">
        <v>0</v>
      </c>
      <c r="T12" s="31" t="n">
        <v>0</v>
      </c>
      <c r="U12" s="31" t="n">
        <v>0</v>
      </c>
      <c r="V12" s="31" t="n">
        <v>0</v>
      </c>
      <c r="W12" s="31" t="n">
        <v>0</v>
      </c>
      <c r="X12" s="31" t="n">
        <v>0</v>
      </c>
      <c r="Y12" s="31" t="n">
        <v>0</v>
      </c>
      <c r="Z12" s="31" t="n">
        <v>0</v>
      </c>
      <c r="AA12" s="31" t="n">
        <v>0</v>
      </c>
      <c r="AB12" s="31" t="n">
        <v>0</v>
      </c>
      <c r="AC12" s="31" t="n">
        <v>0</v>
      </c>
      <c r="AD12" s="31" t="n">
        <v>0</v>
      </c>
      <c r="AE12" s="31" t="n">
        <v>0</v>
      </c>
      <c r="AF12" s="31" t="n">
        <v>0</v>
      </c>
      <c r="AG12" s="31" t="n">
        <v>0</v>
      </c>
      <c r="AH12" s="31" t="n">
        <v>0</v>
      </c>
      <c r="AI12" s="31" t="n">
        <v>0</v>
      </c>
      <c r="AJ12" s="31" t="n">
        <v>0</v>
      </c>
      <c r="AK12" s="31"/>
    </row>
    <row r="13" customFormat="false" ht="15.75" hidden="false" customHeight="true" outlineLevel="0" collapsed="false">
      <c r="A13" s="32" t="n">
        <v>12</v>
      </c>
      <c r="B13" s="32" t="n">
        <f aca="false">SUM(C13:AJ13)</f>
        <v>1</v>
      </c>
      <c r="C13" s="32" t="n">
        <v>0.5</v>
      </c>
      <c r="D13" s="32" t="n">
        <v>0.5</v>
      </c>
      <c r="E13" s="32" t="n">
        <v>0</v>
      </c>
      <c r="F13" s="32" t="n">
        <v>0</v>
      </c>
      <c r="G13" s="32" t="n">
        <v>0</v>
      </c>
      <c r="H13" s="32" t="n">
        <v>0</v>
      </c>
      <c r="I13" s="32" t="n">
        <v>0</v>
      </c>
      <c r="J13" s="32" t="n">
        <v>0</v>
      </c>
      <c r="K13" s="32" t="n">
        <v>0</v>
      </c>
      <c r="L13" s="32" t="n">
        <v>0</v>
      </c>
      <c r="M13" s="32" t="n">
        <v>0</v>
      </c>
      <c r="N13" s="32" t="n">
        <v>0</v>
      </c>
      <c r="O13" s="32" t="n">
        <v>0</v>
      </c>
      <c r="P13" s="32" t="n">
        <v>0</v>
      </c>
      <c r="Q13" s="32" t="n">
        <v>0</v>
      </c>
      <c r="R13" s="32" t="n">
        <v>0</v>
      </c>
      <c r="S13" s="32" t="n">
        <v>0</v>
      </c>
      <c r="T13" s="32" t="n">
        <v>0</v>
      </c>
      <c r="U13" s="32" t="n">
        <v>0</v>
      </c>
      <c r="V13" s="32" t="n">
        <v>0</v>
      </c>
      <c r="W13" s="32" t="n">
        <v>0</v>
      </c>
      <c r="X13" s="32" t="n">
        <v>0</v>
      </c>
      <c r="Y13" s="32" t="n">
        <v>0</v>
      </c>
      <c r="Z13" s="32" t="n">
        <v>0</v>
      </c>
      <c r="AA13" s="32" t="n">
        <v>0</v>
      </c>
      <c r="AB13" s="32" t="n">
        <v>0</v>
      </c>
      <c r="AC13" s="32" t="n">
        <v>0</v>
      </c>
      <c r="AD13" s="32" t="n">
        <v>0</v>
      </c>
      <c r="AE13" s="32" t="n">
        <v>0</v>
      </c>
      <c r="AF13" s="32" t="n">
        <v>0</v>
      </c>
      <c r="AG13" s="32" t="n">
        <v>0</v>
      </c>
      <c r="AH13" s="32" t="n">
        <v>0</v>
      </c>
      <c r="AI13" s="32" t="n">
        <v>0</v>
      </c>
      <c r="AJ13" s="32" t="n">
        <v>0</v>
      </c>
      <c r="AK13" s="32"/>
    </row>
    <row r="14" customFormat="false" ht="15.75" hidden="false" customHeight="true" outlineLevel="0" collapsed="false">
      <c r="A14" s="31" t="n">
        <v>13</v>
      </c>
      <c r="B14" s="31" t="n">
        <f aca="false">SUM(C14:AJ14)</f>
        <v>0.68</v>
      </c>
      <c r="C14" s="31" t="n">
        <v>0.34</v>
      </c>
      <c r="D14" s="31" t="n">
        <v>0.34</v>
      </c>
      <c r="E14" s="31" t="n">
        <v>0</v>
      </c>
      <c r="F14" s="31" t="n">
        <v>0</v>
      </c>
      <c r="G14" s="31" t="n">
        <v>0</v>
      </c>
      <c r="H14" s="31" t="n">
        <v>0</v>
      </c>
      <c r="I14" s="31" t="n">
        <v>0</v>
      </c>
      <c r="J14" s="31" t="n">
        <v>0</v>
      </c>
      <c r="K14" s="31" t="n">
        <v>0</v>
      </c>
      <c r="L14" s="31" t="n">
        <v>0</v>
      </c>
      <c r="M14" s="31" t="n">
        <v>0</v>
      </c>
      <c r="N14" s="31" t="n">
        <v>0</v>
      </c>
      <c r="O14" s="31" t="n">
        <v>0</v>
      </c>
      <c r="P14" s="31" t="n">
        <v>0</v>
      </c>
      <c r="Q14" s="31" t="n">
        <v>0</v>
      </c>
      <c r="R14" s="31" t="n">
        <v>0</v>
      </c>
      <c r="S14" s="31" t="n">
        <v>0</v>
      </c>
      <c r="T14" s="31" t="n">
        <v>0</v>
      </c>
      <c r="U14" s="31" t="n">
        <v>0</v>
      </c>
      <c r="V14" s="31" t="n">
        <v>0</v>
      </c>
      <c r="W14" s="31" t="n">
        <v>0</v>
      </c>
      <c r="X14" s="31" t="n">
        <v>0</v>
      </c>
      <c r="Y14" s="31" t="n">
        <v>0</v>
      </c>
      <c r="Z14" s="31" t="n">
        <v>0</v>
      </c>
      <c r="AA14" s="31" t="n">
        <v>0</v>
      </c>
      <c r="AB14" s="31" t="n">
        <v>0</v>
      </c>
      <c r="AC14" s="31" t="n">
        <v>0</v>
      </c>
      <c r="AD14" s="31" t="n">
        <v>0</v>
      </c>
      <c r="AE14" s="31" t="n">
        <v>0</v>
      </c>
      <c r="AF14" s="31" t="n">
        <v>0</v>
      </c>
      <c r="AG14" s="31" t="n">
        <v>0</v>
      </c>
      <c r="AH14" s="31" t="n">
        <v>0</v>
      </c>
      <c r="AI14" s="31" t="n">
        <v>0</v>
      </c>
      <c r="AJ14" s="31" t="n">
        <v>0</v>
      </c>
      <c r="AK14" s="31"/>
    </row>
    <row r="15" customFormat="false" ht="15.75" hidden="false" customHeight="true" outlineLevel="0" collapsed="false">
      <c r="A15" s="32" t="n">
        <v>14</v>
      </c>
      <c r="B15" s="32" t="n">
        <f aca="false">SUM(C15:AJ15)</f>
        <v>1</v>
      </c>
      <c r="C15" s="32" t="n">
        <v>0.5</v>
      </c>
      <c r="D15" s="32" t="n">
        <v>0.5</v>
      </c>
      <c r="E15" s="32" t="n">
        <v>0</v>
      </c>
      <c r="F15" s="32" t="n">
        <v>0</v>
      </c>
      <c r="G15" s="32" t="n">
        <v>0</v>
      </c>
      <c r="H15" s="32" t="n">
        <v>0</v>
      </c>
      <c r="I15" s="32" t="n">
        <v>0</v>
      </c>
      <c r="J15" s="32" t="n">
        <v>0</v>
      </c>
      <c r="K15" s="32" t="n">
        <v>0</v>
      </c>
      <c r="L15" s="32" t="n">
        <v>0</v>
      </c>
      <c r="M15" s="32" t="n">
        <v>0</v>
      </c>
      <c r="N15" s="32" t="n">
        <v>0</v>
      </c>
      <c r="O15" s="32" t="n">
        <v>0</v>
      </c>
      <c r="P15" s="32" t="n">
        <v>0</v>
      </c>
      <c r="Q15" s="32" t="n">
        <v>0</v>
      </c>
      <c r="R15" s="32" t="n">
        <v>0</v>
      </c>
      <c r="S15" s="32" t="n">
        <v>0</v>
      </c>
      <c r="T15" s="32" t="n">
        <v>0</v>
      </c>
      <c r="U15" s="32" t="n">
        <v>0</v>
      </c>
      <c r="V15" s="32" t="n">
        <v>0</v>
      </c>
      <c r="W15" s="32" t="n">
        <v>0</v>
      </c>
      <c r="X15" s="32" t="n">
        <v>0</v>
      </c>
      <c r="Y15" s="32" t="n">
        <v>0</v>
      </c>
      <c r="Z15" s="32" t="n">
        <v>0</v>
      </c>
      <c r="AA15" s="32" t="n">
        <v>0</v>
      </c>
      <c r="AB15" s="32" t="n">
        <v>0</v>
      </c>
      <c r="AC15" s="32" t="n">
        <v>0</v>
      </c>
      <c r="AD15" s="32" t="n">
        <v>0</v>
      </c>
      <c r="AE15" s="32" t="n">
        <v>0</v>
      </c>
      <c r="AF15" s="32" t="n">
        <v>0</v>
      </c>
      <c r="AG15" s="32" t="n">
        <v>0</v>
      </c>
      <c r="AH15" s="32" t="n">
        <v>0</v>
      </c>
      <c r="AI15" s="32" t="n">
        <v>0</v>
      </c>
      <c r="AJ15" s="32" t="n">
        <v>0</v>
      </c>
      <c r="AK15" s="32"/>
    </row>
    <row r="16" customFormat="false" ht="15.75" hidden="false" customHeight="true" outlineLevel="0" collapsed="false">
      <c r="A16" s="31" t="n">
        <v>15</v>
      </c>
      <c r="B16" s="31" t="n">
        <f aca="false">SUM(C16:AJ16)</f>
        <v>0.58</v>
      </c>
      <c r="C16" s="31" t="n">
        <v>0.29</v>
      </c>
      <c r="D16" s="31" t="n">
        <v>0.29</v>
      </c>
      <c r="E16" s="31" t="n">
        <v>0</v>
      </c>
      <c r="F16" s="31" t="n">
        <v>0</v>
      </c>
      <c r="G16" s="31" t="n">
        <v>0</v>
      </c>
      <c r="H16" s="31" t="n">
        <v>0</v>
      </c>
      <c r="I16" s="31" t="n">
        <v>0</v>
      </c>
      <c r="J16" s="31" t="n">
        <v>0</v>
      </c>
      <c r="K16" s="31" t="n">
        <v>0</v>
      </c>
      <c r="L16" s="31" t="n">
        <v>0</v>
      </c>
      <c r="M16" s="31" t="n">
        <v>0</v>
      </c>
      <c r="N16" s="31" t="n">
        <v>0</v>
      </c>
      <c r="O16" s="31" t="n">
        <v>0</v>
      </c>
      <c r="P16" s="31" t="n">
        <v>0</v>
      </c>
      <c r="Q16" s="31" t="n">
        <v>0</v>
      </c>
      <c r="R16" s="31" t="n">
        <v>0</v>
      </c>
      <c r="S16" s="31" t="n">
        <v>0</v>
      </c>
      <c r="T16" s="31" t="n">
        <v>0</v>
      </c>
      <c r="U16" s="31" t="n">
        <v>0</v>
      </c>
      <c r="V16" s="31" t="n">
        <v>0</v>
      </c>
      <c r="W16" s="31" t="n">
        <v>0</v>
      </c>
      <c r="X16" s="31" t="n">
        <v>0</v>
      </c>
      <c r="Y16" s="31" t="n">
        <v>0</v>
      </c>
      <c r="Z16" s="31" t="n">
        <v>0</v>
      </c>
      <c r="AA16" s="31" t="n">
        <v>0</v>
      </c>
      <c r="AB16" s="31" t="n">
        <v>0</v>
      </c>
      <c r="AC16" s="31" t="n">
        <v>0</v>
      </c>
      <c r="AD16" s="31" t="n">
        <v>0</v>
      </c>
      <c r="AE16" s="31" t="n">
        <v>0</v>
      </c>
      <c r="AF16" s="31" t="n">
        <v>0</v>
      </c>
      <c r="AG16" s="31" t="n">
        <v>0</v>
      </c>
      <c r="AH16" s="31" t="n">
        <v>0</v>
      </c>
      <c r="AI16" s="31" t="n">
        <v>0</v>
      </c>
      <c r="AJ16" s="31" t="n">
        <v>0</v>
      </c>
      <c r="AK16" s="31"/>
    </row>
    <row r="17" customFormat="false" ht="15.75" hidden="false" customHeight="true" outlineLevel="0" collapsed="false">
      <c r="A17" s="32" t="n">
        <v>16</v>
      </c>
      <c r="B17" s="32" t="n">
        <f aca="false">SUM(C17:AJ17)</f>
        <v>2</v>
      </c>
      <c r="C17" s="32" t="n">
        <v>0</v>
      </c>
      <c r="D17" s="32" t="n">
        <v>0</v>
      </c>
      <c r="E17" s="32" t="n">
        <v>0</v>
      </c>
      <c r="F17" s="32" t="n">
        <v>0</v>
      </c>
      <c r="G17" s="32" t="n">
        <v>0</v>
      </c>
      <c r="H17" s="32" t="n">
        <v>0</v>
      </c>
      <c r="I17" s="32" t="n">
        <v>0</v>
      </c>
      <c r="J17" s="32" t="n">
        <v>1</v>
      </c>
      <c r="K17" s="32" t="n">
        <v>1</v>
      </c>
      <c r="L17" s="32" t="n">
        <v>0</v>
      </c>
      <c r="M17" s="32" t="n">
        <v>0</v>
      </c>
      <c r="N17" s="32" t="n">
        <v>0</v>
      </c>
      <c r="O17" s="32" t="n">
        <v>0</v>
      </c>
      <c r="P17" s="32" t="n">
        <v>0</v>
      </c>
      <c r="Q17" s="32" t="n">
        <v>0</v>
      </c>
      <c r="R17" s="32" t="n">
        <v>0</v>
      </c>
      <c r="S17" s="32" t="n">
        <v>0</v>
      </c>
      <c r="T17" s="32" t="n">
        <v>0</v>
      </c>
      <c r="U17" s="32" t="n">
        <v>0</v>
      </c>
      <c r="V17" s="32" t="n">
        <v>0</v>
      </c>
      <c r="W17" s="32" t="n">
        <v>0</v>
      </c>
      <c r="X17" s="32" t="n">
        <v>0</v>
      </c>
      <c r="Y17" s="32" t="n">
        <v>0</v>
      </c>
      <c r="Z17" s="32" t="n">
        <v>0</v>
      </c>
      <c r="AA17" s="32" t="n">
        <v>0</v>
      </c>
      <c r="AB17" s="32" t="n">
        <v>0</v>
      </c>
      <c r="AC17" s="32" t="n">
        <v>0</v>
      </c>
      <c r="AD17" s="32" t="n">
        <v>0</v>
      </c>
      <c r="AE17" s="32" t="n">
        <v>0</v>
      </c>
      <c r="AF17" s="32" t="n">
        <v>0</v>
      </c>
      <c r="AG17" s="32" t="n">
        <v>0</v>
      </c>
      <c r="AH17" s="32" t="n">
        <v>0</v>
      </c>
      <c r="AI17" s="32" t="n">
        <v>0</v>
      </c>
      <c r="AJ17" s="32" t="n">
        <v>0</v>
      </c>
      <c r="AK17" s="32"/>
    </row>
    <row r="18" customFormat="false" ht="15.75" hidden="false" customHeight="true" outlineLevel="0" collapsed="false">
      <c r="A18" s="31" t="n">
        <v>17</v>
      </c>
      <c r="B18" s="31" t="n">
        <f aca="false">SUM(C18:AJ18)</f>
        <v>1.34</v>
      </c>
      <c r="C18" s="31" t="n">
        <v>0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0.67</v>
      </c>
      <c r="K18" s="31" t="n">
        <v>0.67</v>
      </c>
      <c r="L18" s="31" t="n">
        <v>0</v>
      </c>
      <c r="M18" s="31" t="n">
        <v>0</v>
      </c>
      <c r="N18" s="31" t="n">
        <v>0</v>
      </c>
      <c r="O18" s="31" t="n">
        <v>0</v>
      </c>
      <c r="P18" s="31" t="n">
        <v>0</v>
      </c>
      <c r="Q18" s="31" t="n">
        <v>0</v>
      </c>
      <c r="R18" s="31" t="n">
        <v>0</v>
      </c>
      <c r="S18" s="31" t="n">
        <v>0</v>
      </c>
      <c r="T18" s="31" t="n">
        <v>0</v>
      </c>
      <c r="U18" s="31" t="n">
        <v>0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A18" s="31" t="n">
        <v>0</v>
      </c>
      <c r="AB18" s="31" t="n">
        <v>0</v>
      </c>
      <c r="AC18" s="31" t="n">
        <v>0</v>
      </c>
      <c r="AD18" s="31" t="n">
        <v>0</v>
      </c>
      <c r="AE18" s="31" t="n">
        <v>0</v>
      </c>
      <c r="AF18" s="31" t="n">
        <v>0</v>
      </c>
      <c r="AG18" s="31" t="n">
        <v>0</v>
      </c>
      <c r="AH18" s="31" t="n">
        <v>0</v>
      </c>
      <c r="AI18" s="31" t="n">
        <v>0</v>
      </c>
      <c r="AJ18" s="31" t="n">
        <v>0</v>
      </c>
      <c r="AK18" s="31"/>
    </row>
    <row r="19" customFormat="false" ht="15.75" hidden="false" customHeight="true" outlineLevel="0" collapsed="false">
      <c r="A19" s="32" t="n">
        <v>18</v>
      </c>
      <c r="B19" s="32" t="n">
        <f aca="false">SUM(C19:AJ19)</f>
        <v>1</v>
      </c>
      <c r="C19" s="32" t="n">
        <v>0</v>
      </c>
      <c r="D19" s="32" t="n">
        <v>0</v>
      </c>
      <c r="E19" s="32" t="n">
        <v>0</v>
      </c>
      <c r="F19" s="32" t="n">
        <v>0</v>
      </c>
      <c r="G19" s="32" t="n">
        <v>0</v>
      </c>
      <c r="H19" s="32" t="n">
        <v>0</v>
      </c>
      <c r="I19" s="32" t="n">
        <v>0</v>
      </c>
      <c r="J19" s="32" t="n">
        <v>0.5</v>
      </c>
      <c r="K19" s="32" t="n">
        <v>0.5</v>
      </c>
      <c r="L19" s="32" t="n">
        <v>0</v>
      </c>
      <c r="M19" s="32" t="n">
        <v>0</v>
      </c>
      <c r="N19" s="32" t="n">
        <v>0</v>
      </c>
      <c r="O19" s="32" t="n">
        <v>0</v>
      </c>
      <c r="P19" s="32" t="n">
        <v>0</v>
      </c>
      <c r="Q19" s="32" t="n">
        <v>0</v>
      </c>
      <c r="R19" s="32" t="n">
        <v>0</v>
      </c>
      <c r="S19" s="32" t="n">
        <v>0</v>
      </c>
      <c r="T19" s="32" t="n">
        <v>0</v>
      </c>
      <c r="U19" s="32" t="n">
        <v>0</v>
      </c>
      <c r="V19" s="32" t="n">
        <v>0</v>
      </c>
      <c r="W19" s="32" t="n">
        <v>0</v>
      </c>
      <c r="X19" s="32" t="n">
        <v>0</v>
      </c>
      <c r="Y19" s="32" t="n">
        <v>0</v>
      </c>
      <c r="Z19" s="32" t="n">
        <v>0</v>
      </c>
      <c r="AA19" s="32" t="n">
        <v>0</v>
      </c>
      <c r="AB19" s="32" t="n">
        <v>0</v>
      </c>
      <c r="AC19" s="32" t="n">
        <v>0</v>
      </c>
      <c r="AD19" s="32" t="n">
        <v>0</v>
      </c>
      <c r="AE19" s="32" t="n">
        <v>0</v>
      </c>
      <c r="AF19" s="32" t="n">
        <v>0</v>
      </c>
      <c r="AG19" s="32" t="n">
        <v>0</v>
      </c>
      <c r="AH19" s="32" t="n">
        <v>0</v>
      </c>
      <c r="AI19" s="32" t="n">
        <v>0</v>
      </c>
      <c r="AJ19" s="32" t="n">
        <v>0</v>
      </c>
      <c r="AK19" s="32"/>
    </row>
    <row r="20" customFormat="false" ht="15.75" hidden="false" customHeight="true" outlineLevel="0" collapsed="false">
      <c r="A20" s="31" t="n">
        <v>19</v>
      </c>
      <c r="B20" s="31" t="n">
        <f aca="false">SUM(C20:AJ20)</f>
        <v>1</v>
      </c>
      <c r="C20" s="31" t="n">
        <v>0</v>
      </c>
      <c r="D20" s="31" t="n">
        <v>0</v>
      </c>
      <c r="E20" s="31" t="n">
        <v>0</v>
      </c>
      <c r="F20" s="31" t="n">
        <v>0</v>
      </c>
      <c r="G20" s="31" t="n">
        <v>0</v>
      </c>
      <c r="H20" s="31" t="n">
        <v>0</v>
      </c>
      <c r="I20" s="31" t="n">
        <v>0</v>
      </c>
      <c r="J20" s="31" t="n">
        <v>0.5</v>
      </c>
      <c r="K20" s="31" t="n">
        <v>0.5</v>
      </c>
      <c r="L20" s="31" t="n">
        <v>0</v>
      </c>
      <c r="M20" s="31" t="n">
        <v>0</v>
      </c>
      <c r="N20" s="31" t="n">
        <v>0</v>
      </c>
      <c r="O20" s="31" t="n">
        <v>0</v>
      </c>
      <c r="P20" s="31" t="n">
        <v>0</v>
      </c>
      <c r="Q20" s="31" t="n">
        <v>0</v>
      </c>
      <c r="R20" s="31" t="n">
        <v>0</v>
      </c>
      <c r="S20" s="31" t="n">
        <v>0</v>
      </c>
      <c r="T20" s="31" t="n">
        <v>0</v>
      </c>
      <c r="U20" s="31" t="n">
        <v>0</v>
      </c>
      <c r="V20" s="31" t="n">
        <v>0</v>
      </c>
      <c r="W20" s="31" t="n">
        <v>0</v>
      </c>
      <c r="X20" s="31" t="n">
        <v>0</v>
      </c>
      <c r="Y20" s="31" t="n">
        <v>0</v>
      </c>
      <c r="Z20" s="31" t="n">
        <v>0</v>
      </c>
      <c r="AA20" s="31" t="n">
        <v>0</v>
      </c>
      <c r="AB20" s="31" t="n">
        <v>0</v>
      </c>
      <c r="AC20" s="31" t="n">
        <v>0</v>
      </c>
      <c r="AD20" s="31" t="n">
        <v>0</v>
      </c>
      <c r="AE20" s="31" t="n">
        <v>0</v>
      </c>
      <c r="AF20" s="31" t="n">
        <v>0</v>
      </c>
      <c r="AG20" s="31" t="n">
        <v>0</v>
      </c>
      <c r="AH20" s="31" t="n">
        <v>0</v>
      </c>
      <c r="AI20" s="31" t="n">
        <v>0</v>
      </c>
      <c r="AJ20" s="31" t="n">
        <v>0</v>
      </c>
      <c r="AK20" s="31"/>
    </row>
    <row r="21" customFormat="false" ht="15.75" hidden="false" customHeight="true" outlineLevel="0" collapsed="false">
      <c r="A21" s="32" t="n">
        <v>20</v>
      </c>
      <c r="B21" s="32" t="n">
        <f aca="false">SUM(C21:AJ21)</f>
        <v>1.5</v>
      </c>
      <c r="C21" s="32" t="n">
        <v>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0.75</v>
      </c>
      <c r="K21" s="32" t="n">
        <v>0.75</v>
      </c>
      <c r="L21" s="32" t="n">
        <v>0</v>
      </c>
      <c r="M21" s="32" t="n">
        <v>0</v>
      </c>
      <c r="N21" s="32" t="n">
        <v>0</v>
      </c>
      <c r="O21" s="32" t="n">
        <v>0</v>
      </c>
      <c r="P21" s="32" t="n">
        <v>0</v>
      </c>
      <c r="Q21" s="32" t="n">
        <v>0</v>
      </c>
      <c r="R21" s="32" t="n">
        <v>0</v>
      </c>
      <c r="S21" s="32" t="n">
        <v>0</v>
      </c>
      <c r="T21" s="32" t="n">
        <v>0</v>
      </c>
      <c r="U21" s="32" t="n">
        <v>0</v>
      </c>
      <c r="V21" s="32" t="n">
        <v>0</v>
      </c>
      <c r="W21" s="32" t="n">
        <v>0</v>
      </c>
      <c r="X21" s="32" t="n">
        <v>0</v>
      </c>
      <c r="Y21" s="32" t="n">
        <v>0</v>
      </c>
      <c r="Z21" s="32" t="n">
        <v>0</v>
      </c>
      <c r="AA21" s="32" t="n">
        <v>0</v>
      </c>
      <c r="AB21" s="32" t="n">
        <v>0</v>
      </c>
      <c r="AC21" s="32" t="n">
        <v>0</v>
      </c>
      <c r="AD21" s="32" t="n">
        <v>0</v>
      </c>
      <c r="AE21" s="32" t="n">
        <v>0</v>
      </c>
      <c r="AF21" s="32" t="n">
        <v>0</v>
      </c>
      <c r="AG21" s="32" t="n">
        <v>0</v>
      </c>
      <c r="AH21" s="32" t="n">
        <v>0</v>
      </c>
      <c r="AI21" s="32" t="n">
        <v>0</v>
      </c>
      <c r="AJ21" s="32" t="n">
        <v>0</v>
      </c>
      <c r="AK21" s="32"/>
    </row>
    <row r="22" customFormat="false" ht="15.75" hidden="false" customHeight="true" outlineLevel="0" collapsed="false">
      <c r="A22" s="31" t="n">
        <v>21</v>
      </c>
      <c r="B22" s="31" t="n">
        <f aca="false">SUM(C22:AJ22)</f>
        <v>2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0</v>
      </c>
      <c r="H22" s="31" t="n">
        <v>0</v>
      </c>
      <c r="I22" s="31" t="n">
        <v>0</v>
      </c>
      <c r="J22" s="31" t="n">
        <v>1</v>
      </c>
      <c r="K22" s="31" t="n">
        <v>1</v>
      </c>
      <c r="L22" s="31" t="n">
        <v>0</v>
      </c>
      <c r="M22" s="31" t="n">
        <v>0</v>
      </c>
      <c r="N22" s="31" t="n">
        <v>0</v>
      </c>
      <c r="O22" s="31" t="n">
        <v>0</v>
      </c>
      <c r="P22" s="31" t="n">
        <v>0</v>
      </c>
      <c r="Q22" s="31" t="n">
        <v>0</v>
      </c>
      <c r="R22" s="31" t="n">
        <v>0</v>
      </c>
      <c r="S22" s="31" t="n">
        <v>0</v>
      </c>
      <c r="T22" s="31" t="n">
        <v>0</v>
      </c>
      <c r="U22" s="31" t="n">
        <v>0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A22" s="31" t="n">
        <v>0</v>
      </c>
      <c r="AB22" s="31" t="n">
        <v>0</v>
      </c>
      <c r="AC22" s="31" t="n">
        <v>0</v>
      </c>
      <c r="AD22" s="31" t="n">
        <v>0</v>
      </c>
      <c r="AE22" s="31" t="n">
        <v>0</v>
      </c>
      <c r="AF22" s="31" t="n">
        <v>0</v>
      </c>
      <c r="AG22" s="31" t="n">
        <v>0</v>
      </c>
      <c r="AH22" s="31" t="n">
        <v>0</v>
      </c>
      <c r="AI22" s="31" t="n">
        <v>0</v>
      </c>
      <c r="AJ22" s="31" t="n">
        <v>0</v>
      </c>
      <c r="AK22" s="31"/>
    </row>
    <row r="23" customFormat="false" ht="15.75" hidden="false" customHeight="true" outlineLevel="0" collapsed="false">
      <c r="A23" s="32" t="n">
        <v>22</v>
      </c>
      <c r="B23" s="32" t="n">
        <f aca="false">SUM(C23:AJ23)</f>
        <v>1.16</v>
      </c>
      <c r="C23" s="32" t="n">
        <v>0</v>
      </c>
      <c r="D23" s="32" t="n">
        <v>0</v>
      </c>
      <c r="E23" s="32" t="n">
        <v>0</v>
      </c>
      <c r="F23" s="32" t="n">
        <v>0</v>
      </c>
      <c r="G23" s="32" t="n">
        <v>0</v>
      </c>
      <c r="H23" s="32" t="n">
        <v>0</v>
      </c>
      <c r="I23" s="32" t="n">
        <v>0</v>
      </c>
      <c r="J23" s="32" t="n">
        <v>0.58</v>
      </c>
      <c r="K23" s="32" t="n">
        <v>0.58</v>
      </c>
      <c r="L23" s="32" t="n">
        <v>0</v>
      </c>
      <c r="M23" s="32" t="n">
        <v>0</v>
      </c>
      <c r="N23" s="32" t="n">
        <v>0</v>
      </c>
      <c r="O23" s="32" t="n">
        <v>0</v>
      </c>
      <c r="P23" s="32" t="n">
        <v>0</v>
      </c>
      <c r="Q23" s="32" t="n">
        <v>0</v>
      </c>
      <c r="R23" s="32" t="n">
        <v>0</v>
      </c>
      <c r="S23" s="32" t="n">
        <v>0</v>
      </c>
      <c r="T23" s="32" t="n">
        <v>0</v>
      </c>
      <c r="U23" s="32" t="n">
        <v>0</v>
      </c>
      <c r="V23" s="32" t="n">
        <v>0</v>
      </c>
      <c r="W23" s="32" t="n">
        <v>0</v>
      </c>
      <c r="X23" s="32" t="n">
        <v>0</v>
      </c>
      <c r="Y23" s="32" t="n">
        <v>0</v>
      </c>
      <c r="Z23" s="32" t="n">
        <v>0</v>
      </c>
      <c r="AA23" s="32" t="n">
        <v>0</v>
      </c>
      <c r="AB23" s="32" t="n">
        <v>0</v>
      </c>
      <c r="AC23" s="32" t="n">
        <v>0</v>
      </c>
      <c r="AD23" s="32" t="n">
        <v>0</v>
      </c>
      <c r="AE23" s="32" t="n">
        <v>0</v>
      </c>
      <c r="AF23" s="32" t="n">
        <v>0</v>
      </c>
      <c r="AG23" s="32" t="n">
        <v>0</v>
      </c>
      <c r="AH23" s="32" t="n">
        <v>0</v>
      </c>
      <c r="AI23" s="32" t="n">
        <v>0</v>
      </c>
      <c r="AJ23" s="32" t="n">
        <v>0</v>
      </c>
      <c r="AK23" s="32"/>
    </row>
    <row r="24" customFormat="false" ht="15.75" hidden="false" customHeight="true" outlineLevel="0" collapsed="false">
      <c r="A24" s="31" t="n">
        <v>23</v>
      </c>
      <c r="B24" s="31" t="n">
        <f aca="false">SUM(C24:AJ24)</f>
        <v>1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0</v>
      </c>
      <c r="H24" s="31" t="n">
        <v>0</v>
      </c>
      <c r="I24" s="31" t="n">
        <v>0</v>
      </c>
      <c r="J24" s="31" t="n">
        <v>0.5</v>
      </c>
      <c r="K24" s="31" t="n">
        <v>0.5</v>
      </c>
      <c r="L24" s="31" t="n">
        <v>0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0</v>
      </c>
      <c r="R24" s="31" t="n">
        <v>0</v>
      </c>
      <c r="S24" s="31" t="n">
        <v>0</v>
      </c>
      <c r="T24" s="31" t="n">
        <v>0</v>
      </c>
      <c r="U24" s="31" t="n">
        <v>0</v>
      </c>
      <c r="V24" s="31" t="n">
        <v>0</v>
      </c>
      <c r="W24" s="31" t="n">
        <v>0</v>
      </c>
      <c r="X24" s="31" t="n">
        <v>0</v>
      </c>
      <c r="Y24" s="31" t="n">
        <v>0</v>
      </c>
      <c r="Z24" s="31" t="n">
        <v>0</v>
      </c>
      <c r="AA24" s="31" t="n">
        <v>0</v>
      </c>
      <c r="AB24" s="31" t="n">
        <v>0</v>
      </c>
      <c r="AC24" s="31" t="n">
        <v>0</v>
      </c>
      <c r="AD24" s="31" t="n">
        <v>0</v>
      </c>
      <c r="AE24" s="31" t="n">
        <v>0</v>
      </c>
      <c r="AF24" s="31" t="n">
        <v>0</v>
      </c>
      <c r="AG24" s="31" t="n">
        <v>0</v>
      </c>
      <c r="AH24" s="31" t="n">
        <v>0</v>
      </c>
      <c r="AI24" s="31" t="n">
        <v>0</v>
      </c>
      <c r="AJ24" s="31" t="n">
        <v>0</v>
      </c>
      <c r="AK24" s="31"/>
    </row>
    <row r="25" customFormat="false" ht="15.75" hidden="false" customHeight="true" outlineLevel="0" collapsed="false">
      <c r="A25" s="32" t="n">
        <v>24</v>
      </c>
      <c r="B25" s="32" t="n">
        <f aca="false">SUM(C25:AJ25)</f>
        <v>1.66</v>
      </c>
      <c r="C25" s="32" t="n">
        <v>0</v>
      </c>
      <c r="D25" s="32" t="n">
        <v>0</v>
      </c>
      <c r="E25" s="32" t="n">
        <v>0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0.83</v>
      </c>
      <c r="K25" s="32" t="n">
        <v>0.83</v>
      </c>
      <c r="L25" s="32" t="n">
        <v>0</v>
      </c>
      <c r="M25" s="32" t="n">
        <v>0</v>
      </c>
      <c r="N25" s="32" t="n">
        <v>0</v>
      </c>
      <c r="O25" s="32" t="n">
        <v>0</v>
      </c>
      <c r="P25" s="32" t="n">
        <v>0</v>
      </c>
      <c r="Q25" s="32" t="n">
        <v>0</v>
      </c>
      <c r="R25" s="32" t="n">
        <v>0</v>
      </c>
      <c r="S25" s="32" t="n">
        <v>0</v>
      </c>
      <c r="T25" s="32" t="n">
        <v>0</v>
      </c>
      <c r="U25" s="32" t="n">
        <v>0</v>
      </c>
      <c r="V25" s="32" t="n">
        <v>0</v>
      </c>
      <c r="W25" s="32" t="n">
        <v>0</v>
      </c>
      <c r="X25" s="32" t="n">
        <v>0</v>
      </c>
      <c r="Y25" s="32" t="n">
        <v>0</v>
      </c>
      <c r="Z25" s="32" t="n">
        <v>0</v>
      </c>
      <c r="AA25" s="32" t="n">
        <v>0</v>
      </c>
      <c r="AB25" s="32" t="n">
        <v>0</v>
      </c>
      <c r="AC25" s="32" t="n">
        <v>0</v>
      </c>
      <c r="AD25" s="32" t="n">
        <v>0</v>
      </c>
      <c r="AE25" s="32" t="n">
        <v>0</v>
      </c>
      <c r="AF25" s="32" t="n">
        <v>0</v>
      </c>
      <c r="AG25" s="32" t="n">
        <v>0</v>
      </c>
      <c r="AH25" s="32" t="n">
        <v>0</v>
      </c>
      <c r="AI25" s="32" t="n">
        <v>0</v>
      </c>
      <c r="AJ25" s="32" t="n">
        <v>0</v>
      </c>
      <c r="AK25" s="32"/>
    </row>
    <row r="26" customFormat="false" ht="15.75" hidden="false" customHeight="true" outlineLevel="0" collapsed="false">
      <c r="A26" s="31" t="n">
        <v>25</v>
      </c>
      <c r="B26" s="31" t="n">
        <f aca="false">SUM(C26:AJ26)</f>
        <v>0.82</v>
      </c>
      <c r="C26" s="31" t="n">
        <v>0</v>
      </c>
      <c r="D26" s="31" t="n">
        <v>0</v>
      </c>
      <c r="E26" s="31" t="n">
        <v>0</v>
      </c>
      <c r="F26" s="31" t="n">
        <v>0</v>
      </c>
      <c r="G26" s="31" t="n">
        <v>0</v>
      </c>
      <c r="H26" s="31" t="n">
        <v>0</v>
      </c>
      <c r="I26" s="31" t="n">
        <v>0</v>
      </c>
      <c r="J26" s="31" t="n">
        <v>0.41</v>
      </c>
      <c r="K26" s="31" t="n">
        <v>0.41</v>
      </c>
      <c r="L26" s="31" t="n">
        <v>0</v>
      </c>
      <c r="M26" s="31" t="n">
        <v>0</v>
      </c>
      <c r="N26" s="31" t="n">
        <v>0</v>
      </c>
      <c r="O26" s="31" t="n">
        <v>0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  <c r="AF26" s="31" t="n">
        <v>0</v>
      </c>
      <c r="AG26" s="31" t="n">
        <v>0</v>
      </c>
      <c r="AH26" s="31" t="n">
        <v>0</v>
      </c>
      <c r="AI26" s="31" t="n">
        <v>0</v>
      </c>
      <c r="AJ26" s="31" t="n">
        <v>0</v>
      </c>
      <c r="AK26" s="31"/>
    </row>
    <row r="27" customFormat="false" ht="15.75" hidden="false" customHeight="true" outlineLevel="0" collapsed="false">
      <c r="A27" s="32" t="n">
        <v>26</v>
      </c>
      <c r="B27" s="32" t="n">
        <f aca="false">SUM(C27:AJ27)</f>
        <v>2</v>
      </c>
      <c r="C27" s="32" t="n">
        <v>0</v>
      </c>
      <c r="D27" s="32" t="n">
        <v>0</v>
      </c>
      <c r="E27" s="32" t="n">
        <v>0</v>
      </c>
      <c r="F27" s="32" t="n">
        <v>0</v>
      </c>
      <c r="G27" s="32" t="n">
        <v>0</v>
      </c>
      <c r="H27" s="32" t="n">
        <v>0</v>
      </c>
      <c r="I27" s="32" t="n">
        <v>0</v>
      </c>
      <c r="J27" s="32" t="n">
        <v>1</v>
      </c>
      <c r="K27" s="32" t="n">
        <v>1</v>
      </c>
      <c r="L27" s="32" t="n">
        <v>0</v>
      </c>
      <c r="M27" s="32" t="n">
        <v>0</v>
      </c>
      <c r="N27" s="32" t="n">
        <v>0</v>
      </c>
      <c r="O27" s="32" t="n">
        <v>0</v>
      </c>
      <c r="P27" s="32" t="n">
        <v>0</v>
      </c>
      <c r="Q27" s="32" t="n">
        <v>0</v>
      </c>
      <c r="R27" s="32" t="n">
        <v>0</v>
      </c>
      <c r="S27" s="32" t="n">
        <v>0</v>
      </c>
      <c r="T27" s="32" t="n">
        <v>0</v>
      </c>
      <c r="U27" s="32" t="n">
        <v>0</v>
      </c>
      <c r="V27" s="32" t="n">
        <v>0</v>
      </c>
      <c r="W27" s="32" t="n">
        <v>0</v>
      </c>
      <c r="X27" s="32" t="n">
        <v>0</v>
      </c>
      <c r="Y27" s="32" t="n">
        <v>0</v>
      </c>
      <c r="Z27" s="32" t="n">
        <v>0</v>
      </c>
      <c r="AA27" s="32" t="n">
        <v>0</v>
      </c>
      <c r="AB27" s="32" t="n">
        <v>0</v>
      </c>
      <c r="AC27" s="32" t="n">
        <v>0</v>
      </c>
      <c r="AD27" s="32" t="n">
        <v>0</v>
      </c>
      <c r="AE27" s="32" t="n">
        <v>0</v>
      </c>
      <c r="AF27" s="32" t="n">
        <v>0</v>
      </c>
      <c r="AG27" s="32" t="n">
        <v>0</v>
      </c>
      <c r="AH27" s="32" t="n">
        <v>0</v>
      </c>
      <c r="AI27" s="32" t="n">
        <v>0</v>
      </c>
      <c r="AJ27" s="32" t="n">
        <v>0</v>
      </c>
      <c r="AK27" s="32"/>
    </row>
    <row r="28" customFormat="false" ht="15.75" hidden="false" customHeight="true" outlineLevel="0" collapsed="false">
      <c r="A28" s="31" t="n">
        <v>27</v>
      </c>
      <c r="B28" s="31" t="n">
        <f aca="false">SUM(C28:AJ28)</f>
        <v>0.76</v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0</v>
      </c>
      <c r="H28" s="31" t="n">
        <v>0</v>
      </c>
      <c r="I28" s="31" t="n">
        <v>0</v>
      </c>
      <c r="J28" s="31" t="n">
        <v>0.38</v>
      </c>
      <c r="K28" s="31" t="n">
        <v>0.38</v>
      </c>
      <c r="L28" s="31" t="n">
        <v>0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  <c r="AF28" s="31" t="n">
        <v>0</v>
      </c>
      <c r="AG28" s="31" t="n">
        <v>0</v>
      </c>
      <c r="AH28" s="31" t="n">
        <v>0</v>
      </c>
      <c r="AI28" s="31" t="n">
        <v>0</v>
      </c>
      <c r="AJ28" s="31" t="n">
        <v>0</v>
      </c>
      <c r="AK28" s="31"/>
    </row>
    <row r="29" customFormat="false" ht="15.75" hidden="false" customHeight="true" outlineLevel="0" collapsed="false">
      <c r="A29" s="32" t="n">
        <v>28</v>
      </c>
      <c r="B29" s="32" t="n">
        <f aca="false">SUM(C29:AJ29)</f>
        <v>0.68</v>
      </c>
      <c r="C29" s="32" t="n">
        <v>0</v>
      </c>
      <c r="D29" s="32" t="n">
        <v>0</v>
      </c>
      <c r="E29" s="32" t="n">
        <v>0</v>
      </c>
      <c r="F29" s="32" t="n">
        <v>0</v>
      </c>
      <c r="G29" s="32" t="n">
        <v>0</v>
      </c>
      <c r="H29" s="32" t="n">
        <v>0</v>
      </c>
      <c r="I29" s="32" t="n">
        <v>0</v>
      </c>
      <c r="J29" s="32" t="n">
        <v>0.34</v>
      </c>
      <c r="K29" s="32" t="n">
        <v>0.34</v>
      </c>
      <c r="L29" s="32" t="n">
        <v>0</v>
      </c>
      <c r="M29" s="32" t="n">
        <v>0</v>
      </c>
      <c r="N29" s="32" t="n">
        <v>0</v>
      </c>
      <c r="O29" s="32" t="n">
        <v>0</v>
      </c>
      <c r="P29" s="32" t="n">
        <v>0</v>
      </c>
      <c r="Q29" s="32" t="n">
        <v>0</v>
      </c>
      <c r="R29" s="32" t="n">
        <v>0</v>
      </c>
      <c r="S29" s="32" t="n">
        <v>0</v>
      </c>
      <c r="T29" s="32" t="n">
        <v>0</v>
      </c>
      <c r="U29" s="32" t="n">
        <v>0</v>
      </c>
      <c r="V29" s="32" t="n">
        <v>0</v>
      </c>
      <c r="W29" s="32" t="n">
        <v>0</v>
      </c>
      <c r="X29" s="32" t="n">
        <v>0</v>
      </c>
      <c r="Y29" s="32" t="n">
        <v>0</v>
      </c>
      <c r="Z29" s="32" t="n">
        <v>0</v>
      </c>
      <c r="AA29" s="32" t="n">
        <v>0</v>
      </c>
      <c r="AB29" s="32" t="n">
        <v>0</v>
      </c>
      <c r="AC29" s="32" t="n">
        <v>0</v>
      </c>
      <c r="AD29" s="32" t="n">
        <v>0</v>
      </c>
      <c r="AE29" s="32" t="n">
        <v>0</v>
      </c>
      <c r="AF29" s="32" t="n">
        <v>0</v>
      </c>
      <c r="AG29" s="32" t="n">
        <v>0</v>
      </c>
      <c r="AH29" s="32" t="n">
        <v>0</v>
      </c>
      <c r="AI29" s="32" t="n">
        <v>0</v>
      </c>
      <c r="AJ29" s="32" t="n">
        <v>0</v>
      </c>
      <c r="AK29" s="32"/>
    </row>
    <row r="30" customFormat="false" ht="15.75" hidden="false" customHeight="true" outlineLevel="0" collapsed="false">
      <c r="A30" s="31" t="n">
        <v>29</v>
      </c>
      <c r="B30" s="31" t="n">
        <f aca="false">SUM(C30:AJ30)</f>
        <v>1</v>
      </c>
      <c r="C30" s="31" t="n">
        <v>0</v>
      </c>
      <c r="D30" s="31" t="n">
        <v>0</v>
      </c>
      <c r="E30" s="31" t="n">
        <v>0</v>
      </c>
      <c r="F30" s="31" t="n">
        <v>0</v>
      </c>
      <c r="G30" s="31" t="n">
        <v>0</v>
      </c>
      <c r="H30" s="31" t="n">
        <v>0</v>
      </c>
      <c r="I30" s="31" t="n">
        <v>0</v>
      </c>
      <c r="J30" s="31" t="n">
        <v>0.5</v>
      </c>
      <c r="K30" s="31" t="n">
        <v>0.5</v>
      </c>
      <c r="L30" s="31" t="n">
        <v>0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  <c r="AF30" s="31" t="n">
        <v>0</v>
      </c>
      <c r="AG30" s="31" t="n">
        <v>0</v>
      </c>
      <c r="AH30" s="31" t="n">
        <v>0</v>
      </c>
      <c r="AI30" s="31" t="n">
        <v>0</v>
      </c>
      <c r="AJ30" s="31" t="n">
        <v>0</v>
      </c>
      <c r="AK30" s="31"/>
    </row>
    <row r="31" customFormat="false" ht="15.75" hidden="false" customHeight="true" outlineLevel="0" collapsed="false">
      <c r="A31" s="32" t="n">
        <v>30</v>
      </c>
      <c r="B31" s="32" t="n">
        <f aca="false">SUM(C31:AJ31)</f>
        <v>1.5</v>
      </c>
      <c r="C31" s="32" t="n">
        <v>0</v>
      </c>
      <c r="D31" s="32" t="n">
        <v>0</v>
      </c>
      <c r="E31" s="32" t="n">
        <v>0</v>
      </c>
      <c r="F31" s="32" t="n">
        <v>0</v>
      </c>
      <c r="G31" s="32" t="n">
        <v>0</v>
      </c>
      <c r="H31" s="32" t="n">
        <v>0</v>
      </c>
      <c r="I31" s="32" t="n">
        <v>0</v>
      </c>
      <c r="J31" s="32" t="n">
        <v>0.75</v>
      </c>
      <c r="K31" s="32" t="n">
        <v>0.75</v>
      </c>
      <c r="L31" s="32" t="n">
        <v>0</v>
      </c>
      <c r="M31" s="32" t="n">
        <v>0</v>
      </c>
      <c r="N31" s="32" t="n">
        <v>0</v>
      </c>
      <c r="O31" s="32" t="n">
        <v>0</v>
      </c>
      <c r="P31" s="32" t="n">
        <v>0</v>
      </c>
      <c r="Q31" s="32" t="n">
        <v>0</v>
      </c>
      <c r="R31" s="32" t="n">
        <v>0</v>
      </c>
      <c r="S31" s="32" t="n">
        <v>0</v>
      </c>
      <c r="T31" s="32" t="n">
        <v>0</v>
      </c>
      <c r="U31" s="32" t="n">
        <v>0</v>
      </c>
      <c r="V31" s="32" t="n">
        <v>0</v>
      </c>
      <c r="W31" s="32" t="n">
        <v>0</v>
      </c>
      <c r="X31" s="32" t="n">
        <v>0</v>
      </c>
      <c r="Y31" s="32" t="n">
        <v>0</v>
      </c>
      <c r="Z31" s="32" t="n">
        <v>0</v>
      </c>
      <c r="AA31" s="32" t="n">
        <v>0</v>
      </c>
      <c r="AB31" s="32" t="n">
        <v>0</v>
      </c>
      <c r="AC31" s="32" t="n">
        <v>0</v>
      </c>
      <c r="AD31" s="32" t="n">
        <v>0</v>
      </c>
      <c r="AE31" s="32" t="n">
        <v>0</v>
      </c>
      <c r="AF31" s="32" t="n">
        <v>0</v>
      </c>
      <c r="AG31" s="32" t="n">
        <v>0</v>
      </c>
      <c r="AH31" s="32" t="n">
        <v>0</v>
      </c>
      <c r="AI31" s="32" t="n">
        <v>0</v>
      </c>
      <c r="AJ31" s="32" t="n">
        <v>0</v>
      </c>
      <c r="AK31" s="32"/>
    </row>
    <row r="32" customFormat="false" ht="15.75" hidden="false" customHeight="true" outlineLevel="0" collapsed="false">
      <c r="A32" s="31" t="n">
        <v>31</v>
      </c>
      <c r="B32" s="31" t="n">
        <f aca="false">SUM(C32:AJ32)</f>
        <v>1.34</v>
      </c>
      <c r="C32" s="31" t="n">
        <v>0</v>
      </c>
      <c r="D32" s="31" t="n">
        <v>0</v>
      </c>
      <c r="E32" s="31" t="n">
        <v>0</v>
      </c>
      <c r="F32" s="31" t="n">
        <v>0</v>
      </c>
      <c r="G32" s="31" t="n">
        <v>0</v>
      </c>
      <c r="H32" s="31" t="n">
        <v>0</v>
      </c>
      <c r="I32" s="31" t="n">
        <v>0</v>
      </c>
      <c r="J32" s="31" t="n">
        <v>0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0.67</v>
      </c>
      <c r="Y32" s="31" t="n">
        <v>0.67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  <c r="AF32" s="31" t="n">
        <v>0</v>
      </c>
      <c r="AG32" s="31" t="n">
        <v>0</v>
      </c>
      <c r="AH32" s="31" t="n">
        <v>0</v>
      </c>
      <c r="AI32" s="31" t="n">
        <v>0</v>
      </c>
      <c r="AJ32" s="31" t="n">
        <v>0</v>
      </c>
      <c r="AK32" s="31"/>
    </row>
    <row r="33" customFormat="false" ht="15.75" hidden="false" customHeight="true" outlineLevel="0" collapsed="false">
      <c r="A33" s="32" t="n">
        <v>32</v>
      </c>
      <c r="B33" s="32" t="n">
        <f aca="false">SUM(C33:AJ33)</f>
        <v>2</v>
      </c>
      <c r="C33" s="32" t="n">
        <v>0</v>
      </c>
      <c r="D33" s="32" t="n">
        <v>0</v>
      </c>
      <c r="E33" s="32" t="n">
        <v>0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  <c r="N33" s="32" t="n">
        <v>0</v>
      </c>
      <c r="O33" s="32" t="n">
        <v>0</v>
      </c>
      <c r="P33" s="32" t="n">
        <v>0</v>
      </c>
      <c r="Q33" s="32" t="n">
        <v>0</v>
      </c>
      <c r="R33" s="32" t="n">
        <v>0</v>
      </c>
      <c r="S33" s="32" t="n">
        <v>0</v>
      </c>
      <c r="T33" s="32" t="n">
        <v>0</v>
      </c>
      <c r="U33" s="32" t="n">
        <v>0</v>
      </c>
      <c r="V33" s="32" t="n">
        <v>0</v>
      </c>
      <c r="W33" s="32" t="n">
        <v>0</v>
      </c>
      <c r="X33" s="32" t="n">
        <v>1</v>
      </c>
      <c r="Y33" s="32" t="n">
        <v>1</v>
      </c>
      <c r="Z33" s="32" t="n">
        <v>0</v>
      </c>
      <c r="AA33" s="32" t="n">
        <v>0</v>
      </c>
      <c r="AB33" s="32" t="n">
        <v>0</v>
      </c>
      <c r="AC33" s="32" t="n">
        <v>0</v>
      </c>
      <c r="AD33" s="32" t="n">
        <v>0</v>
      </c>
      <c r="AE33" s="32" t="n">
        <v>0</v>
      </c>
      <c r="AF33" s="32" t="n">
        <v>0</v>
      </c>
      <c r="AG33" s="32" t="n">
        <v>0</v>
      </c>
      <c r="AH33" s="32" t="n">
        <v>0</v>
      </c>
      <c r="AI33" s="32" t="n">
        <v>0</v>
      </c>
      <c r="AJ33" s="32" t="n">
        <v>0</v>
      </c>
      <c r="AK33" s="32"/>
    </row>
    <row r="34" customFormat="false" ht="15.75" hidden="false" customHeight="true" outlineLevel="0" collapsed="false">
      <c r="A34" s="31" t="n">
        <v>33</v>
      </c>
      <c r="B34" s="31" t="n">
        <f aca="false">SUM(C34:AJ34)</f>
        <v>1.5</v>
      </c>
      <c r="C34" s="31" t="n">
        <v>0</v>
      </c>
      <c r="D34" s="31" t="n">
        <v>0</v>
      </c>
      <c r="E34" s="31" t="n">
        <v>0</v>
      </c>
      <c r="F34" s="31" t="n">
        <v>0</v>
      </c>
      <c r="G34" s="31" t="n">
        <v>0</v>
      </c>
      <c r="H34" s="31" t="n">
        <v>0</v>
      </c>
      <c r="I34" s="31" t="n">
        <v>0</v>
      </c>
      <c r="J34" s="31" t="n">
        <v>0</v>
      </c>
      <c r="K34" s="31" t="n">
        <v>0</v>
      </c>
      <c r="L34" s="31" t="n">
        <v>0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0</v>
      </c>
      <c r="W34" s="31" t="n">
        <v>0</v>
      </c>
      <c r="X34" s="31" t="n">
        <v>0.75</v>
      </c>
      <c r="Y34" s="31" t="n">
        <v>0.75</v>
      </c>
      <c r="Z34" s="31" t="n">
        <v>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  <c r="AF34" s="31" t="n">
        <v>0</v>
      </c>
      <c r="AG34" s="31" t="n">
        <v>0</v>
      </c>
      <c r="AH34" s="31" t="n">
        <v>0</v>
      </c>
      <c r="AI34" s="31" t="n">
        <v>0</v>
      </c>
      <c r="AJ34" s="31" t="n">
        <v>0</v>
      </c>
      <c r="AK34" s="31"/>
    </row>
    <row r="35" customFormat="false" ht="15.75" hidden="false" customHeight="true" outlineLevel="0" collapsed="false">
      <c r="A35" s="32" t="n">
        <v>34</v>
      </c>
      <c r="B35" s="32" t="n">
        <f aca="false">SUM(C35:AJ35)</f>
        <v>0.58</v>
      </c>
      <c r="C35" s="32" t="n">
        <v>0</v>
      </c>
      <c r="D35" s="32" t="n">
        <v>0</v>
      </c>
      <c r="E35" s="32" t="n">
        <v>0</v>
      </c>
      <c r="F35" s="32" t="n">
        <v>0</v>
      </c>
      <c r="G35" s="32" t="n">
        <v>0</v>
      </c>
      <c r="H35" s="32" t="n">
        <v>0</v>
      </c>
      <c r="I35" s="32" t="n">
        <v>0</v>
      </c>
      <c r="J35" s="32" t="n">
        <v>0</v>
      </c>
      <c r="K35" s="32" t="n">
        <v>0</v>
      </c>
      <c r="L35" s="32" t="n">
        <v>0</v>
      </c>
      <c r="M35" s="32" t="n">
        <v>0</v>
      </c>
      <c r="N35" s="32" t="n">
        <v>0</v>
      </c>
      <c r="O35" s="32" t="n">
        <v>0</v>
      </c>
      <c r="P35" s="32" t="n">
        <v>0</v>
      </c>
      <c r="Q35" s="32" t="n">
        <v>0</v>
      </c>
      <c r="R35" s="32" t="n">
        <v>0</v>
      </c>
      <c r="S35" s="32" t="n">
        <v>0</v>
      </c>
      <c r="T35" s="32" t="n">
        <v>0</v>
      </c>
      <c r="U35" s="32" t="n">
        <v>0</v>
      </c>
      <c r="V35" s="32" t="n">
        <v>0</v>
      </c>
      <c r="W35" s="32" t="n">
        <v>0</v>
      </c>
      <c r="X35" s="32" t="n">
        <v>0.29</v>
      </c>
      <c r="Y35" s="32" t="n">
        <v>0.29</v>
      </c>
      <c r="Z35" s="32" t="n">
        <v>0</v>
      </c>
      <c r="AA35" s="32" t="n">
        <v>0</v>
      </c>
      <c r="AB35" s="32" t="n">
        <v>0</v>
      </c>
      <c r="AC35" s="32" t="n">
        <v>0</v>
      </c>
      <c r="AD35" s="32" t="n">
        <v>0</v>
      </c>
      <c r="AE35" s="32" t="n">
        <v>0</v>
      </c>
      <c r="AF35" s="32" t="n">
        <v>0</v>
      </c>
      <c r="AG35" s="32" t="n">
        <v>0</v>
      </c>
      <c r="AH35" s="32" t="n">
        <v>0</v>
      </c>
      <c r="AI35" s="32" t="n">
        <v>0</v>
      </c>
      <c r="AJ35" s="32" t="n">
        <v>0</v>
      </c>
      <c r="AK35" s="32"/>
    </row>
    <row r="36" customFormat="false" ht="15.75" hidden="false" customHeight="true" outlineLevel="0" collapsed="false">
      <c r="A36" s="31" t="n">
        <v>35</v>
      </c>
      <c r="B36" s="31" t="n">
        <f aca="false">SUM(C36:AJ36)</f>
        <v>0.82</v>
      </c>
      <c r="C36" s="31" t="n">
        <v>0</v>
      </c>
      <c r="D36" s="31" t="n">
        <v>0</v>
      </c>
      <c r="E36" s="31" t="n">
        <v>0</v>
      </c>
      <c r="F36" s="31" t="n">
        <v>0</v>
      </c>
      <c r="G36" s="31" t="n">
        <v>0</v>
      </c>
      <c r="H36" s="31" t="n">
        <v>0</v>
      </c>
      <c r="I36" s="31" t="n">
        <v>0</v>
      </c>
      <c r="J36" s="31" t="n">
        <v>0</v>
      </c>
      <c r="K36" s="31" t="n">
        <v>0</v>
      </c>
      <c r="L36" s="31" t="n">
        <v>0</v>
      </c>
      <c r="M36" s="31" t="n">
        <v>0</v>
      </c>
      <c r="N36" s="31" t="n">
        <v>0</v>
      </c>
      <c r="O36" s="31" t="n">
        <v>0</v>
      </c>
      <c r="P36" s="31" t="n">
        <v>0</v>
      </c>
      <c r="Q36" s="31" t="n">
        <v>0</v>
      </c>
      <c r="R36" s="31" t="n">
        <v>0</v>
      </c>
      <c r="S36" s="31" t="n">
        <v>0</v>
      </c>
      <c r="T36" s="31" t="n">
        <v>0</v>
      </c>
      <c r="U36" s="31" t="n">
        <v>0</v>
      </c>
      <c r="V36" s="31" t="n">
        <v>0</v>
      </c>
      <c r="W36" s="31" t="n">
        <v>0</v>
      </c>
      <c r="X36" s="31" t="n">
        <v>0.41</v>
      </c>
      <c r="Y36" s="31" t="n">
        <v>0.41</v>
      </c>
      <c r="Z36" s="31" t="n">
        <v>0</v>
      </c>
      <c r="AA36" s="31" t="n">
        <v>0</v>
      </c>
      <c r="AB36" s="31" t="n">
        <v>0</v>
      </c>
      <c r="AC36" s="31" t="n">
        <v>0</v>
      </c>
      <c r="AD36" s="31" t="n">
        <v>0</v>
      </c>
      <c r="AE36" s="31" t="n">
        <v>0</v>
      </c>
      <c r="AF36" s="31" t="n">
        <v>0</v>
      </c>
      <c r="AG36" s="31" t="n">
        <v>0</v>
      </c>
      <c r="AH36" s="31" t="n">
        <v>0</v>
      </c>
      <c r="AI36" s="31" t="n">
        <v>0</v>
      </c>
      <c r="AJ36" s="31" t="n">
        <v>0</v>
      </c>
      <c r="AK36" s="31"/>
    </row>
    <row r="37" customFormat="false" ht="15.75" hidden="false" customHeight="true" outlineLevel="0" collapsed="false">
      <c r="A37" s="32" t="n">
        <v>36</v>
      </c>
      <c r="B37" s="32" t="n">
        <f aca="false">SUM(C37:AJ37)</f>
        <v>1.24</v>
      </c>
      <c r="C37" s="32" t="n">
        <v>0</v>
      </c>
      <c r="D37" s="32" t="n">
        <v>0</v>
      </c>
      <c r="E37" s="32" t="n">
        <v>0</v>
      </c>
      <c r="F37" s="32" t="n">
        <v>0</v>
      </c>
      <c r="G37" s="32" t="n">
        <v>0</v>
      </c>
      <c r="H37" s="32" t="n">
        <v>0</v>
      </c>
      <c r="I37" s="32" t="n">
        <v>0</v>
      </c>
      <c r="J37" s="32" t="n">
        <v>0</v>
      </c>
      <c r="K37" s="32" t="n">
        <v>0</v>
      </c>
      <c r="L37" s="32" t="n">
        <v>0</v>
      </c>
      <c r="M37" s="32" t="n">
        <v>0</v>
      </c>
      <c r="N37" s="32" t="n">
        <v>0</v>
      </c>
      <c r="O37" s="32" t="n">
        <v>0</v>
      </c>
      <c r="P37" s="32" t="n">
        <v>0</v>
      </c>
      <c r="Q37" s="32" t="n">
        <v>0</v>
      </c>
      <c r="R37" s="32" t="n">
        <v>0</v>
      </c>
      <c r="S37" s="32" t="n">
        <v>0</v>
      </c>
      <c r="T37" s="32" t="n">
        <v>0</v>
      </c>
      <c r="U37" s="32" t="n">
        <v>0</v>
      </c>
      <c r="V37" s="32" t="n">
        <v>0</v>
      </c>
      <c r="W37" s="32" t="n">
        <v>0</v>
      </c>
      <c r="X37" s="32" t="n">
        <v>0.62</v>
      </c>
      <c r="Y37" s="32" t="n">
        <v>0.62</v>
      </c>
      <c r="Z37" s="32" t="n">
        <v>0</v>
      </c>
      <c r="AA37" s="32" t="n">
        <v>0</v>
      </c>
      <c r="AB37" s="32" t="n">
        <v>0</v>
      </c>
      <c r="AC37" s="32" t="n">
        <v>0</v>
      </c>
      <c r="AD37" s="32" t="n">
        <v>0</v>
      </c>
      <c r="AE37" s="32" t="n">
        <v>0</v>
      </c>
      <c r="AF37" s="32" t="n">
        <v>0</v>
      </c>
      <c r="AG37" s="32" t="n">
        <v>0</v>
      </c>
      <c r="AH37" s="32" t="n">
        <v>0</v>
      </c>
      <c r="AI37" s="32" t="n">
        <v>0</v>
      </c>
      <c r="AJ37" s="32" t="n">
        <v>0</v>
      </c>
      <c r="AK37" s="32"/>
    </row>
    <row r="38" customFormat="false" ht="15.75" hidden="false" customHeight="true" outlineLevel="0" collapsed="false">
      <c r="A38" s="31" t="n">
        <v>37</v>
      </c>
      <c r="B38" s="31" t="n">
        <f aca="false">SUM(C38:AJ38)</f>
        <v>1</v>
      </c>
      <c r="C38" s="31" t="n">
        <v>0</v>
      </c>
      <c r="D38" s="31" t="n">
        <v>0</v>
      </c>
      <c r="E38" s="31" t="n">
        <v>0</v>
      </c>
      <c r="F38" s="31" t="n">
        <v>0</v>
      </c>
      <c r="G38" s="31" t="n">
        <v>0</v>
      </c>
      <c r="H38" s="31" t="n">
        <v>0</v>
      </c>
      <c r="I38" s="31" t="n">
        <v>0</v>
      </c>
      <c r="J38" s="31" t="n">
        <v>0</v>
      </c>
      <c r="K38" s="31" t="n">
        <v>0</v>
      </c>
      <c r="L38" s="31" t="n">
        <v>0</v>
      </c>
      <c r="M38" s="31" t="n">
        <v>0</v>
      </c>
      <c r="N38" s="31" t="n">
        <v>0</v>
      </c>
      <c r="O38" s="31" t="n">
        <v>0</v>
      </c>
      <c r="P38" s="31" t="n">
        <v>0</v>
      </c>
      <c r="Q38" s="31" t="n">
        <v>0</v>
      </c>
      <c r="R38" s="31" t="n">
        <v>0</v>
      </c>
      <c r="S38" s="31" t="n">
        <v>0</v>
      </c>
      <c r="T38" s="31" t="n">
        <v>0</v>
      </c>
      <c r="U38" s="31" t="n">
        <v>0</v>
      </c>
      <c r="V38" s="31" t="n">
        <v>0</v>
      </c>
      <c r="W38" s="31" t="n">
        <v>0</v>
      </c>
      <c r="X38" s="31" t="n">
        <v>0.5</v>
      </c>
      <c r="Y38" s="31" t="n">
        <v>0.5</v>
      </c>
      <c r="Z38" s="31" t="n">
        <v>0</v>
      </c>
      <c r="AA38" s="31" t="n">
        <v>0</v>
      </c>
      <c r="AB38" s="31" t="n">
        <v>0</v>
      </c>
      <c r="AC38" s="31" t="n">
        <v>0</v>
      </c>
      <c r="AD38" s="31" t="n">
        <v>0</v>
      </c>
      <c r="AE38" s="31" t="n">
        <v>0</v>
      </c>
      <c r="AF38" s="31" t="n">
        <v>0</v>
      </c>
      <c r="AG38" s="31" t="n">
        <v>0</v>
      </c>
      <c r="AH38" s="31" t="n">
        <v>0</v>
      </c>
      <c r="AI38" s="31" t="n">
        <v>0</v>
      </c>
      <c r="AJ38" s="31" t="n">
        <v>0</v>
      </c>
      <c r="AK38" s="31"/>
    </row>
    <row r="39" customFormat="false" ht="15.75" hidden="false" customHeight="true" outlineLevel="0" collapsed="false">
      <c r="A39" s="32" t="n">
        <v>38</v>
      </c>
      <c r="B39" s="32" t="n">
        <f aca="false">SUM(C39:AJ39)</f>
        <v>0.5</v>
      </c>
      <c r="C39" s="32" t="n">
        <v>0</v>
      </c>
      <c r="D39" s="32" t="n">
        <v>0</v>
      </c>
      <c r="E39" s="32" t="n">
        <v>0</v>
      </c>
      <c r="F39" s="32" t="n">
        <v>0</v>
      </c>
      <c r="G39" s="32" t="n">
        <v>0</v>
      </c>
      <c r="H39" s="32" t="n">
        <v>0</v>
      </c>
      <c r="I39" s="32" t="n">
        <v>0</v>
      </c>
      <c r="J39" s="32" t="n">
        <v>0</v>
      </c>
      <c r="K39" s="32" t="n">
        <v>0</v>
      </c>
      <c r="L39" s="32" t="n">
        <v>0</v>
      </c>
      <c r="M39" s="32" t="n">
        <v>0</v>
      </c>
      <c r="N39" s="32" t="n">
        <v>0</v>
      </c>
      <c r="O39" s="32" t="n">
        <v>0</v>
      </c>
      <c r="P39" s="32" t="n">
        <v>0</v>
      </c>
      <c r="Q39" s="32" t="n">
        <v>0</v>
      </c>
      <c r="R39" s="32" t="n">
        <v>0</v>
      </c>
      <c r="S39" s="32" t="n">
        <v>0</v>
      </c>
      <c r="T39" s="32" t="n">
        <v>0</v>
      </c>
      <c r="U39" s="32" t="n">
        <v>0</v>
      </c>
      <c r="V39" s="32" t="n">
        <v>0</v>
      </c>
      <c r="W39" s="32" t="n">
        <v>0</v>
      </c>
      <c r="X39" s="32" t="n">
        <v>0.25</v>
      </c>
      <c r="Y39" s="32" t="n">
        <v>0.25</v>
      </c>
      <c r="Z39" s="32" t="n">
        <v>0</v>
      </c>
      <c r="AA39" s="32" t="n">
        <v>0</v>
      </c>
      <c r="AB39" s="32" t="n">
        <v>0</v>
      </c>
      <c r="AC39" s="32" t="n">
        <v>0</v>
      </c>
      <c r="AD39" s="32" t="n">
        <v>0</v>
      </c>
      <c r="AE39" s="32" t="n">
        <v>0</v>
      </c>
      <c r="AF39" s="32" t="n">
        <v>0</v>
      </c>
      <c r="AG39" s="32" t="n">
        <v>0</v>
      </c>
      <c r="AH39" s="32" t="n">
        <v>0</v>
      </c>
      <c r="AI39" s="32" t="n">
        <v>0</v>
      </c>
      <c r="AJ39" s="32" t="n">
        <v>0</v>
      </c>
      <c r="AK39" s="32"/>
    </row>
    <row r="40" customFormat="false" ht="15.75" hidden="false" customHeight="true" outlineLevel="0" collapsed="false">
      <c r="A40" s="31" t="n">
        <v>39</v>
      </c>
      <c r="B40" s="31" t="n">
        <f aca="false">SUM(C40:AJ40)</f>
        <v>1</v>
      </c>
      <c r="C40" s="31" t="n">
        <v>0</v>
      </c>
      <c r="D40" s="31" t="n">
        <v>0</v>
      </c>
      <c r="E40" s="31" t="n">
        <v>0</v>
      </c>
      <c r="F40" s="31" t="n">
        <v>0</v>
      </c>
      <c r="G40" s="31" t="n">
        <v>0</v>
      </c>
      <c r="H40" s="31" t="n">
        <v>0</v>
      </c>
      <c r="I40" s="31" t="n">
        <v>0</v>
      </c>
      <c r="J40" s="31" t="n">
        <v>0</v>
      </c>
      <c r="K40" s="31" t="n">
        <v>0</v>
      </c>
      <c r="L40" s="31" t="n">
        <v>0</v>
      </c>
      <c r="M40" s="31" t="n">
        <v>0</v>
      </c>
      <c r="N40" s="31" t="n">
        <v>0</v>
      </c>
      <c r="O40" s="31" t="n">
        <v>0</v>
      </c>
      <c r="P40" s="31" t="n">
        <v>0</v>
      </c>
      <c r="Q40" s="31" t="n">
        <v>0</v>
      </c>
      <c r="R40" s="31" t="n">
        <v>0</v>
      </c>
      <c r="S40" s="31" t="n">
        <v>0</v>
      </c>
      <c r="T40" s="31" t="n">
        <v>0</v>
      </c>
      <c r="U40" s="31" t="n">
        <v>0</v>
      </c>
      <c r="V40" s="31" t="n">
        <v>0</v>
      </c>
      <c r="W40" s="31" t="n">
        <v>0</v>
      </c>
      <c r="X40" s="31" t="n">
        <v>0.5</v>
      </c>
      <c r="Y40" s="31" t="n">
        <v>0.5</v>
      </c>
      <c r="Z40" s="31" t="n">
        <v>0</v>
      </c>
      <c r="AA40" s="31" t="n">
        <v>0</v>
      </c>
      <c r="AB40" s="31" t="n">
        <v>0</v>
      </c>
      <c r="AC40" s="31" t="n">
        <v>0</v>
      </c>
      <c r="AD40" s="31" t="n">
        <v>0</v>
      </c>
      <c r="AE40" s="31" t="n">
        <v>0</v>
      </c>
      <c r="AF40" s="31" t="n">
        <v>0</v>
      </c>
      <c r="AG40" s="31" t="n">
        <v>0</v>
      </c>
      <c r="AH40" s="31" t="n">
        <v>0</v>
      </c>
      <c r="AI40" s="31" t="n">
        <v>0</v>
      </c>
      <c r="AJ40" s="31" t="n">
        <v>0</v>
      </c>
      <c r="AK40" s="31"/>
    </row>
    <row r="41" customFormat="false" ht="15.75" hidden="false" customHeight="true" outlineLevel="0" collapsed="false">
      <c r="A41" s="32" t="n">
        <v>40</v>
      </c>
      <c r="B41" s="32" t="n">
        <f aca="false">SUM(C41:AJ41)</f>
        <v>0.76</v>
      </c>
      <c r="C41" s="32" t="n">
        <v>0</v>
      </c>
      <c r="D41" s="32" t="n">
        <v>0</v>
      </c>
      <c r="E41" s="32" t="n">
        <v>0</v>
      </c>
      <c r="F41" s="32" t="n">
        <v>0</v>
      </c>
      <c r="G41" s="32" t="n">
        <v>0</v>
      </c>
      <c r="H41" s="32" t="n">
        <v>0</v>
      </c>
      <c r="I41" s="32" t="n">
        <v>0</v>
      </c>
      <c r="J41" s="32" t="n">
        <v>0</v>
      </c>
      <c r="K41" s="32" t="n">
        <v>0</v>
      </c>
      <c r="L41" s="32" t="n">
        <v>0</v>
      </c>
      <c r="M41" s="32" t="n">
        <v>0</v>
      </c>
      <c r="N41" s="32" t="n">
        <v>0</v>
      </c>
      <c r="O41" s="32" t="n">
        <v>0</v>
      </c>
      <c r="P41" s="32" t="n">
        <v>0</v>
      </c>
      <c r="Q41" s="32" t="n">
        <v>0</v>
      </c>
      <c r="R41" s="32" t="n">
        <v>0</v>
      </c>
      <c r="S41" s="32" t="n">
        <v>0</v>
      </c>
      <c r="T41" s="32" t="n">
        <v>0</v>
      </c>
      <c r="U41" s="32" t="n">
        <v>0</v>
      </c>
      <c r="V41" s="32" t="n">
        <v>0</v>
      </c>
      <c r="W41" s="32" t="n">
        <v>0</v>
      </c>
      <c r="X41" s="32" t="n">
        <v>0.38</v>
      </c>
      <c r="Y41" s="32" t="n">
        <v>0.38</v>
      </c>
      <c r="Z41" s="32" t="n">
        <v>0</v>
      </c>
      <c r="AA41" s="32" t="n">
        <v>0</v>
      </c>
      <c r="AB41" s="32" t="n">
        <v>0</v>
      </c>
      <c r="AC41" s="32" t="n">
        <v>0</v>
      </c>
      <c r="AD41" s="32" t="n">
        <v>0</v>
      </c>
      <c r="AE41" s="32" t="n">
        <v>0</v>
      </c>
      <c r="AF41" s="32" t="n">
        <v>0</v>
      </c>
      <c r="AG41" s="32" t="n">
        <v>0</v>
      </c>
      <c r="AH41" s="32" t="n">
        <v>0</v>
      </c>
      <c r="AI41" s="32" t="n">
        <v>0</v>
      </c>
      <c r="AJ41" s="32" t="n">
        <v>0</v>
      </c>
      <c r="AK41" s="32"/>
    </row>
    <row r="42" customFormat="false" ht="15.75" hidden="false" customHeight="true" outlineLevel="0" collapsed="false">
      <c r="A42" s="31" t="n">
        <v>41</v>
      </c>
      <c r="B42" s="31" t="n">
        <f aca="false">SUM(C42:AJ42)</f>
        <v>0.58</v>
      </c>
      <c r="C42" s="31" t="n">
        <v>0</v>
      </c>
      <c r="D42" s="31" t="n">
        <v>0</v>
      </c>
      <c r="E42" s="31" t="n">
        <v>0</v>
      </c>
      <c r="F42" s="31" t="n">
        <v>0</v>
      </c>
      <c r="G42" s="31" t="n">
        <v>0</v>
      </c>
      <c r="H42" s="31" t="n">
        <v>0</v>
      </c>
      <c r="I42" s="31" t="n">
        <v>0</v>
      </c>
      <c r="J42" s="31" t="n">
        <v>0</v>
      </c>
      <c r="K42" s="31" t="n">
        <v>0</v>
      </c>
      <c r="L42" s="31" t="n">
        <v>0</v>
      </c>
      <c r="M42" s="31" t="n">
        <v>0</v>
      </c>
      <c r="N42" s="31" t="n">
        <v>0</v>
      </c>
      <c r="O42" s="31" t="n">
        <v>0</v>
      </c>
      <c r="P42" s="31" t="n">
        <v>0</v>
      </c>
      <c r="Q42" s="31" t="n">
        <v>0</v>
      </c>
      <c r="R42" s="31" t="n">
        <v>0</v>
      </c>
      <c r="S42" s="31" t="n">
        <v>0</v>
      </c>
      <c r="T42" s="31" t="n">
        <v>0</v>
      </c>
      <c r="U42" s="31" t="n">
        <v>0</v>
      </c>
      <c r="V42" s="31" t="n">
        <v>0</v>
      </c>
      <c r="W42" s="31" t="n">
        <v>0</v>
      </c>
      <c r="X42" s="31" t="n">
        <v>0</v>
      </c>
      <c r="Y42" s="31" t="n">
        <v>0</v>
      </c>
      <c r="Z42" s="31" t="n">
        <v>0</v>
      </c>
      <c r="AA42" s="31" t="n">
        <v>0</v>
      </c>
      <c r="AB42" s="31" t="n">
        <v>0</v>
      </c>
      <c r="AC42" s="31" t="n">
        <v>0</v>
      </c>
      <c r="AD42" s="31" t="n">
        <v>0</v>
      </c>
      <c r="AE42" s="31" t="n">
        <v>0.29</v>
      </c>
      <c r="AF42" s="31" t="n">
        <v>0.29</v>
      </c>
      <c r="AG42" s="31" t="n">
        <v>0</v>
      </c>
      <c r="AH42" s="31" t="n">
        <v>0</v>
      </c>
      <c r="AI42" s="31" t="n">
        <v>0</v>
      </c>
      <c r="AJ42" s="31" t="n">
        <v>0</v>
      </c>
      <c r="AK42" s="31"/>
    </row>
    <row r="43" customFormat="false" ht="15.75" hidden="false" customHeight="true" outlineLevel="0" collapsed="false">
      <c r="A43" s="32" t="n">
        <v>42</v>
      </c>
      <c r="B43" s="32" t="n">
        <f aca="false">SUM(C43:AJ43)</f>
        <v>1.16</v>
      </c>
      <c r="C43" s="32" t="n">
        <v>0</v>
      </c>
      <c r="D43" s="32" t="n">
        <v>0</v>
      </c>
      <c r="E43" s="32" t="n">
        <v>0</v>
      </c>
      <c r="F43" s="32" t="n">
        <v>0</v>
      </c>
      <c r="G43" s="32" t="n">
        <v>0</v>
      </c>
      <c r="H43" s="32" t="n">
        <v>0</v>
      </c>
      <c r="I43" s="32" t="n">
        <v>0</v>
      </c>
      <c r="J43" s="32" t="n">
        <v>0</v>
      </c>
      <c r="K43" s="32" t="n">
        <v>0</v>
      </c>
      <c r="L43" s="32" t="n">
        <v>0</v>
      </c>
      <c r="M43" s="32" t="n">
        <v>0</v>
      </c>
      <c r="N43" s="32" t="n">
        <v>0</v>
      </c>
      <c r="O43" s="32" t="n">
        <v>0</v>
      </c>
      <c r="P43" s="32" t="n">
        <v>0</v>
      </c>
      <c r="Q43" s="32" t="n">
        <v>0</v>
      </c>
      <c r="R43" s="32" t="n">
        <v>0</v>
      </c>
      <c r="S43" s="32" t="n">
        <v>0</v>
      </c>
      <c r="T43" s="32" t="n">
        <v>0</v>
      </c>
      <c r="U43" s="32" t="n">
        <v>0</v>
      </c>
      <c r="V43" s="32" t="n">
        <v>0</v>
      </c>
      <c r="W43" s="32" t="n">
        <v>0</v>
      </c>
      <c r="X43" s="32" t="n">
        <v>0</v>
      </c>
      <c r="Y43" s="32" t="n">
        <v>0</v>
      </c>
      <c r="Z43" s="32" t="n">
        <v>0</v>
      </c>
      <c r="AA43" s="32" t="n">
        <v>0</v>
      </c>
      <c r="AB43" s="32" t="n">
        <v>0</v>
      </c>
      <c r="AC43" s="32" t="n">
        <v>0</v>
      </c>
      <c r="AD43" s="32" t="n">
        <v>0</v>
      </c>
      <c r="AE43" s="32" t="n">
        <v>0.58</v>
      </c>
      <c r="AF43" s="32" t="n">
        <v>0.58</v>
      </c>
      <c r="AG43" s="32" t="n">
        <v>0</v>
      </c>
      <c r="AH43" s="32" t="n">
        <v>0</v>
      </c>
      <c r="AI43" s="32" t="n">
        <v>0</v>
      </c>
      <c r="AJ43" s="32" t="n">
        <v>0</v>
      </c>
      <c r="AK43" s="32"/>
    </row>
    <row r="44" customFormat="false" ht="15.75" hidden="false" customHeight="true" outlineLevel="0" collapsed="false">
      <c r="A44" s="31" t="n">
        <v>43</v>
      </c>
      <c r="B44" s="31" t="n">
        <f aca="false">SUM(C44:AJ44)</f>
        <v>1</v>
      </c>
      <c r="C44" s="31" t="n">
        <v>0</v>
      </c>
      <c r="D44" s="31" t="n">
        <v>0</v>
      </c>
      <c r="E44" s="31" t="n">
        <v>0</v>
      </c>
      <c r="F44" s="31" t="n">
        <v>0</v>
      </c>
      <c r="G44" s="31" t="n">
        <v>0</v>
      </c>
      <c r="H44" s="31" t="n">
        <v>0</v>
      </c>
      <c r="I44" s="31" t="n">
        <v>0</v>
      </c>
      <c r="J44" s="31" t="n">
        <v>0</v>
      </c>
      <c r="K44" s="31" t="n">
        <v>0</v>
      </c>
      <c r="L44" s="31" t="n">
        <v>0</v>
      </c>
      <c r="M44" s="31" t="n">
        <v>0</v>
      </c>
      <c r="N44" s="31" t="n">
        <v>0</v>
      </c>
      <c r="O44" s="31" t="n">
        <v>0</v>
      </c>
      <c r="P44" s="31" t="n">
        <v>0</v>
      </c>
      <c r="Q44" s="31" t="n">
        <v>0</v>
      </c>
      <c r="R44" s="31" t="n">
        <v>0</v>
      </c>
      <c r="S44" s="31" t="n">
        <v>0</v>
      </c>
      <c r="T44" s="31" t="n">
        <v>0</v>
      </c>
      <c r="U44" s="31" t="n">
        <v>0</v>
      </c>
      <c r="V44" s="31" t="n">
        <v>0</v>
      </c>
      <c r="W44" s="31" t="n">
        <v>0</v>
      </c>
      <c r="X44" s="31" t="n">
        <v>0</v>
      </c>
      <c r="Y44" s="31" t="n">
        <v>0</v>
      </c>
      <c r="Z44" s="31" t="n">
        <v>0</v>
      </c>
      <c r="AA44" s="31" t="n">
        <v>0</v>
      </c>
      <c r="AB44" s="31" t="n">
        <v>0</v>
      </c>
      <c r="AC44" s="31" t="n">
        <v>0</v>
      </c>
      <c r="AD44" s="31" t="n">
        <v>0</v>
      </c>
      <c r="AE44" s="31" t="n">
        <v>0.5</v>
      </c>
      <c r="AF44" s="31" t="n">
        <v>0.5</v>
      </c>
      <c r="AG44" s="31" t="n">
        <v>0</v>
      </c>
      <c r="AH44" s="31" t="n">
        <v>0</v>
      </c>
      <c r="AI44" s="31" t="n">
        <v>0</v>
      </c>
      <c r="AJ44" s="31" t="n">
        <v>0</v>
      </c>
      <c r="AK44" s="31"/>
    </row>
    <row r="45" customFormat="false" ht="15.75" hidden="false" customHeight="true" outlineLevel="0" collapsed="false">
      <c r="A45" s="32" t="n">
        <v>44</v>
      </c>
      <c r="B45" s="32" t="n">
        <f aca="false">SUM(C45:AJ45)</f>
        <v>0.82</v>
      </c>
      <c r="C45" s="32" t="n">
        <v>0</v>
      </c>
      <c r="D45" s="32" t="n">
        <v>0</v>
      </c>
      <c r="E45" s="32" t="n">
        <v>0</v>
      </c>
      <c r="F45" s="32" t="n">
        <v>0</v>
      </c>
      <c r="G45" s="32" t="n">
        <v>0</v>
      </c>
      <c r="H45" s="32" t="n">
        <v>0</v>
      </c>
      <c r="I45" s="32" t="n">
        <v>0</v>
      </c>
      <c r="J45" s="32" t="n">
        <v>0</v>
      </c>
      <c r="K45" s="32" t="n">
        <v>0</v>
      </c>
      <c r="L45" s="32" t="n">
        <v>0</v>
      </c>
      <c r="M45" s="32" t="n">
        <v>0</v>
      </c>
      <c r="N45" s="32" t="n">
        <v>0</v>
      </c>
      <c r="O45" s="32" t="n">
        <v>0</v>
      </c>
      <c r="P45" s="32" t="n">
        <v>0</v>
      </c>
      <c r="Q45" s="32" t="n">
        <v>0</v>
      </c>
      <c r="R45" s="32" t="n">
        <v>0</v>
      </c>
      <c r="S45" s="32" t="n">
        <v>0</v>
      </c>
      <c r="T45" s="32" t="n">
        <v>0</v>
      </c>
      <c r="U45" s="32" t="n">
        <v>0</v>
      </c>
      <c r="V45" s="32" t="n">
        <v>0</v>
      </c>
      <c r="W45" s="32" t="n">
        <v>0</v>
      </c>
      <c r="X45" s="32" t="n">
        <v>0</v>
      </c>
      <c r="Y45" s="32" t="n">
        <v>0</v>
      </c>
      <c r="Z45" s="32" t="n">
        <v>0</v>
      </c>
      <c r="AA45" s="32" t="n">
        <v>0</v>
      </c>
      <c r="AB45" s="32" t="n">
        <v>0</v>
      </c>
      <c r="AC45" s="32" t="n">
        <v>0</v>
      </c>
      <c r="AD45" s="32" t="n">
        <v>0</v>
      </c>
      <c r="AE45" s="32" t="n">
        <v>0.41</v>
      </c>
      <c r="AF45" s="32" t="n">
        <v>0.41</v>
      </c>
      <c r="AG45" s="32" t="n">
        <v>0</v>
      </c>
      <c r="AH45" s="32" t="n">
        <v>0</v>
      </c>
      <c r="AI45" s="32" t="n">
        <v>0</v>
      </c>
      <c r="AJ45" s="32" t="n">
        <v>0</v>
      </c>
      <c r="AK45" s="32"/>
    </row>
    <row r="46" customFormat="false" ht="15.75" hidden="false" customHeight="true" outlineLevel="0" collapsed="false">
      <c r="A46" s="31" t="n">
        <v>45</v>
      </c>
      <c r="B46" s="31" t="n">
        <f aca="false">SUM(C46:AJ46)</f>
        <v>0.92</v>
      </c>
      <c r="C46" s="31" t="n">
        <v>0</v>
      </c>
      <c r="D46" s="31" t="n">
        <v>0</v>
      </c>
      <c r="E46" s="31" t="n">
        <v>0</v>
      </c>
      <c r="F46" s="31" t="n">
        <v>0</v>
      </c>
      <c r="G46" s="31" t="n">
        <v>0</v>
      </c>
      <c r="H46" s="31" t="n">
        <v>0</v>
      </c>
      <c r="I46" s="31" t="n">
        <v>0</v>
      </c>
      <c r="J46" s="31" t="n">
        <v>0</v>
      </c>
      <c r="K46" s="31" t="n">
        <v>0</v>
      </c>
      <c r="L46" s="31" t="n">
        <v>0</v>
      </c>
      <c r="M46" s="31" t="n">
        <v>0</v>
      </c>
      <c r="N46" s="31" t="n">
        <v>0</v>
      </c>
      <c r="O46" s="31" t="n">
        <v>0</v>
      </c>
      <c r="P46" s="31" t="n">
        <v>0</v>
      </c>
      <c r="Q46" s="31" t="n">
        <v>0</v>
      </c>
      <c r="R46" s="31" t="n">
        <v>0</v>
      </c>
      <c r="S46" s="31" t="n">
        <v>0</v>
      </c>
      <c r="T46" s="31" t="n">
        <v>0</v>
      </c>
      <c r="U46" s="31" t="n">
        <v>0</v>
      </c>
      <c r="V46" s="31" t="n">
        <v>0</v>
      </c>
      <c r="W46" s="31" t="n">
        <v>0</v>
      </c>
      <c r="X46" s="31" t="n">
        <v>0</v>
      </c>
      <c r="Y46" s="31" t="n">
        <v>0</v>
      </c>
      <c r="Z46" s="31" t="n">
        <v>0</v>
      </c>
      <c r="AA46" s="31" t="n">
        <v>0</v>
      </c>
      <c r="AB46" s="31" t="n">
        <v>0</v>
      </c>
      <c r="AC46" s="31" t="n">
        <v>0</v>
      </c>
      <c r="AD46" s="31" t="n">
        <v>0</v>
      </c>
      <c r="AE46" s="31" t="n">
        <v>0.46</v>
      </c>
      <c r="AF46" s="31" t="n">
        <v>0.46</v>
      </c>
      <c r="AG46" s="31" t="n">
        <v>0</v>
      </c>
      <c r="AH46" s="31" t="n">
        <v>0</v>
      </c>
      <c r="AI46" s="31" t="n">
        <v>0</v>
      </c>
      <c r="AJ46" s="31" t="n">
        <v>0</v>
      </c>
      <c r="AK46" s="31"/>
    </row>
    <row r="47" customFormat="false" ht="15.75" hidden="false" customHeight="true" outlineLevel="0" collapsed="false">
      <c r="A47" s="32" t="n">
        <v>46</v>
      </c>
      <c r="B47" s="32" t="n">
        <f aca="false">SUM(C47:AJ47)</f>
        <v>0.68</v>
      </c>
      <c r="C47" s="32" t="n">
        <v>0</v>
      </c>
      <c r="D47" s="32" t="n">
        <v>0</v>
      </c>
      <c r="E47" s="32" t="n">
        <v>0</v>
      </c>
      <c r="F47" s="32" t="n">
        <v>0</v>
      </c>
      <c r="G47" s="32" t="n">
        <v>0</v>
      </c>
      <c r="H47" s="32" t="n">
        <v>0</v>
      </c>
      <c r="I47" s="32" t="n">
        <v>0</v>
      </c>
      <c r="J47" s="32" t="n">
        <v>0</v>
      </c>
      <c r="K47" s="32" t="n">
        <v>0</v>
      </c>
      <c r="L47" s="32" t="n">
        <v>0</v>
      </c>
      <c r="M47" s="32" t="n">
        <v>0</v>
      </c>
      <c r="N47" s="32" t="n">
        <v>0</v>
      </c>
      <c r="O47" s="32" t="n">
        <v>0</v>
      </c>
      <c r="P47" s="32" t="n">
        <v>0</v>
      </c>
      <c r="Q47" s="32" t="n">
        <v>0</v>
      </c>
      <c r="R47" s="32" t="n">
        <v>0</v>
      </c>
      <c r="S47" s="32" t="n">
        <v>0</v>
      </c>
      <c r="T47" s="32" t="n">
        <v>0</v>
      </c>
      <c r="U47" s="32" t="n">
        <v>0</v>
      </c>
      <c r="V47" s="32" t="n">
        <v>0</v>
      </c>
      <c r="W47" s="32" t="n">
        <v>0</v>
      </c>
      <c r="X47" s="32" t="n">
        <v>0</v>
      </c>
      <c r="Y47" s="32" t="n">
        <v>0</v>
      </c>
      <c r="Z47" s="32" t="n">
        <v>0</v>
      </c>
      <c r="AA47" s="32" t="n">
        <v>0</v>
      </c>
      <c r="AB47" s="32" t="n">
        <v>0</v>
      </c>
      <c r="AC47" s="32" t="n">
        <v>0</v>
      </c>
      <c r="AD47" s="32" t="n">
        <v>0</v>
      </c>
      <c r="AE47" s="32" t="n">
        <v>0.34</v>
      </c>
      <c r="AF47" s="32" t="n">
        <v>0.34</v>
      </c>
      <c r="AG47" s="32" t="n">
        <v>0</v>
      </c>
      <c r="AH47" s="32" t="n">
        <v>0</v>
      </c>
      <c r="AI47" s="32" t="n">
        <v>0</v>
      </c>
      <c r="AJ47" s="32" t="n">
        <v>0</v>
      </c>
      <c r="AK47" s="32"/>
    </row>
    <row r="48" customFormat="false" ht="15.75" hidden="false" customHeight="true" outlineLevel="0" collapsed="false">
      <c r="A48" s="31" t="n">
        <v>47</v>
      </c>
      <c r="B48" s="31" t="n">
        <f aca="false">SUM(C48:AJ48)</f>
        <v>1</v>
      </c>
      <c r="C48" s="31" t="n">
        <v>0</v>
      </c>
      <c r="D48" s="31" t="n">
        <v>0</v>
      </c>
      <c r="E48" s="31" t="n">
        <v>0</v>
      </c>
      <c r="F48" s="31" t="n">
        <v>0</v>
      </c>
      <c r="G48" s="31" t="n">
        <v>0</v>
      </c>
      <c r="H48" s="31" t="n">
        <v>0</v>
      </c>
      <c r="I48" s="31" t="n">
        <v>0</v>
      </c>
      <c r="J48" s="31" t="n">
        <v>0</v>
      </c>
      <c r="K48" s="31" t="n">
        <v>0</v>
      </c>
      <c r="L48" s="31" t="n">
        <v>0</v>
      </c>
      <c r="M48" s="31" t="n">
        <v>0</v>
      </c>
      <c r="N48" s="31" t="n">
        <v>0</v>
      </c>
      <c r="O48" s="31" t="n">
        <v>0</v>
      </c>
      <c r="P48" s="31" t="n">
        <v>0</v>
      </c>
      <c r="Q48" s="31" t="n">
        <v>0</v>
      </c>
      <c r="R48" s="31" t="n">
        <v>0</v>
      </c>
      <c r="S48" s="31" t="n">
        <v>0</v>
      </c>
      <c r="T48" s="31" t="n">
        <v>0</v>
      </c>
      <c r="U48" s="31" t="n">
        <v>0</v>
      </c>
      <c r="V48" s="31" t="n">
        <v>0</v>
      </c>
      <c r="W48" s="31" t="n">
        <v>0</v>
      </c>
      <c r="X48" s="31" t="n">
        <v>0</v>
      </c>
      <c r="Y48" s="31" t="n">
        <v>0</v>
      </c>
      <c r="Z48" s="31" t="n">
        <v>0</v>
      </c>
      <c r="AA48" s="31" t="n">
        <v>0</v>
      </c>
      <c r="AB48" s="31" t="n">
        <v>0</v>
      </c>
      <c r="AC48" s="31" t="n">
        <v>0</v>
      </c>
      <c r="AD48" s="31" t="n">
        <v>0</v>
      </c>
      <c r="AE48" s="31" t="n">
        <v>0.5</v>
      </c>
      <c r="AF48" s="31" t="n">
        <v>0.5</v>
      </c>
      <c r="AG48" s="31" t="n">
        <v>0</v>
      </c>
      <c r="AH48" s="31" t="n">
        <v>0</v>
      </c>
      <c r="AI48" s="31" t="n">
        <v>0</v>
      </c>
      <c r="AJ48" s="31" t="n">
        <v>0</v>
      </c>
      <c r="AK48" s="31"/>
    </row>
    <row r="49" customFormat="false" ht="15.75" hidden="false" customHeight="true" outlineLevel="0" collapsed="false">
      <c r="A49" s="32" t="n">
        <v>48</v>
      </c>
      <c r="B49" s="32" t="n">
        <f aca="false">SUM(C49:AJ49)</f>
        <v>0.76</v>
      </c>
      <c r="C49" s="32" t="n">
        <v>0</v>
      </c>
      <c r="D49" s="32" t="n">
        <v>0</v>
      </c>
      <c r="E49" s="32" t="n">
        <v>0</v>
      </c>
      <c r="F49" s="32" t="n">
        <v>0</v>
      </c>
      <c r="G49" s="32" t="n">
        <v>0</v>
      </c>
      <c r="H49" s="32" t="n">
        <v>0</v>
      </c>
      <c r="I49" s="32" t="n">
        <v>0</v>
      </c>
      <c r="J49" s="32" t="n">
        <v>0</v>
      </c>
      <c r="K49" s="32" t="n">
        <v>0</v>
      </c>
      <c r="L49" s="32" t="n">
        <v>0</v>
      </c>
      <c r="M49" s="32" t="n">
        <v>0</v>
      </c>
      <c r="N49" s="32" t="n">
        <v>0</v>
      </c>
      <c r="O49" s="32" t="n">
        <v>0</v>
      </c>
      <c r="P49" s="32" t="n">
        <v>0</v>
      </c>
      <c r="Q49" s="32" t="n">
        <v>0</v>
      </c>
      <c r="R49" s="32" t="n">
        <v>0</v>
      </c>
      <c r="S49" s="32" t="n">
        <v>0</v>
      </c>
      <c r="T49" s="32" t="n">
        <v>0</v>
      </c>
      <c r="U49" s="32" t="n">
        <v>0</v>
      </c>
      <c r="V49" s="32" t="n">
        <v>0</v>
      </c>
      <c r="W49" s="32" t="n">
        <v>0</v>
      </c>
      <c r="X49" s="32" t="n">
        <v>0</v>
      </c>
      <c r="Y49" s="32" t="n">
        <v>0</v>
      </c>
      <c r="Z49" s="32" t="n">
        <v>0</v>
      </c>
      <c r="AA49" s="32" t="n">
        <v>0</v>
      </c>
      <c r="AB49" s="32" t="n">
        <v>0</v>
      </c>
      <c r="AC49" s="32" t="n">
        <v>0</v>
      </c>
      <c r="AD49" s="32" t="n">
        <v>0</v>
      </c>
      <c r="AE49" s="32" t="n">
        <v>0.38</v>
      </c>
      <c r="AF49" s="32" t="n">
        <v>0.38</v>
      </c>
      <c r="AG49" s="32" t="n">
        <v>0</v>
      </c>
      <c r="AH49" s="32" t="n">
        <v>0</v>
      </c>
      <c r="AI49" s="32" t="n">
        <v>0</v>
      </c>
      <c r="AJ49" s="32" t="n">
        <v>0</v>
      </c>
      <c r="AK49" s="32"/>
    </row>
    <row r="50" customFormat="false" ht="15.75" hidden="false" customHeight="true" outlineLevel="0" collapsed="false">
      <c r="A50" s="31" t="n">
        <v>49</v>
      </c>
      <c r="B50" s="31" t="n">
        <f aca="false">SUM(C50:AJ50)</f>
        <v>1.33</v>
      </c>
      <c r="C50" s="31" t="n">
        <v>0</v>
      </c>
      <c r="D50" s="31" t="n">
        <v>0</v>
      </c>
      <c r="E50" s="31" t="n">
        <v>0</v>
      </c>
      <c r="F50" s="31" t="n">
        <v>0</v>
      </c>
      <c r="G50" s="31" t="n">
        <v>0</v>
      </c>
      <c r="H50" s="31" t="n">
        <v>0</v>
      </c>
      <c r="I50" s="31" t="n">
        <v>0</v>
      </c>
      <c r="J50" s="31" t="n">
        <v>0</v>
      </c>
      <c r="K50" s="31" t="n">
        <v>0</v>
      </c>
      <c r="L50" s="31" t="n">
        <v>0</v>
      </c>
      <c r="M50" s="31" t="n">
        <v>0</v>
      </c>
      <c r="N50" s="31" t="n">
        <v>0</v>
      </c>
      <c r="O50" s="31" t="n">
        <v>0</v>
      </c>
      <c r="P50" s="31" t="n">
        <v>0</v>
      </c>
      <c r="Q50" s="31" t="n">
        <v>0</v>
      </c>
      <c r="R50" s="31" t="n">
        <v>0</v>
      </c>
      <c r="S50" s="31" t="n">
        <v>0</v>
      </c>
      <c r="T50" s="31" t="n">
        <v>0</v>
      </c>
      <c r="U50" s="31" t="n">
        <v>0</v>
      </c>
      <c r="V50" s="31" t="n">
        <v>0</v>
      </c>
      <c r="W50" s="31" t="n">
        <v>0</v>
      </c>
      <c r="X50" s="31" t="n">
        <v>0</v>
      </c>
      <c r="Y50" s="31" t="n">
        <v>0</v>
      </c>
      <c r="Z50" s="31" t="n">
        <v>0</v>
      </c>
      <c r="AA50" s="31" t="n">
        <v>0</v>
      </c>
      <c r="AB50" s="31" t="n">
        <v>0</v>
      </c>
      <c r="AC50" s="31" t="n">
        <v>0</v>
      </c>
      <c r="AD50" s="31" t="n">
        <v>0</v>
      </c>
      <c r="AE50" s="31" t="n">
        <v>0</v>
      </c>
      <c r="AF50" s="31" t="n">
        <v>0</v>
      </c>
      <c r="AG50" s="31" t="n">
        <v>0</v>
      </c>
      <c r="AH50" s="31" t="n">
        <v>0</v>
      </c>
      <c r="AI50" s="31" t="n">
        <v>0</v>
      </c>
      <c r="AJ50" s="31" t="n">
        <v>1.33</v>
      </c>
      <c r="AK50" s="31"/>
    </row>
    <row r="51" customFormat="false" ht="15.75" hidden="false" customHeight="true" outlineLevel="0" collapsed="false">
      <c r="A51" s="32" t="n">
        <v>50</v>
      </c>
      <c r="B51" s="32" t="n">
        <f aca="false">SUM(C51:AJ51)</f>
        <v>1.33</v>
      </c>
      <c r="C51" s="32" t="n">
        <v>0</v>
      </c>
      <c r="D51" s="32" t="n">
        <v>0</v>
      </c>
      <c r="E51" s="32" t="n">
        <v>0</v>
      </c>
      <c r="F51" s="32" t="n">
        <v>0</v>
      </c>
      <c r="G51" s="32" t="n">
        <v>0</v>
      </c>
      <c r="H51" s="32" t="n">
        <v>0</v>
      </c>
      <c r="I51" s="32" t="n">
        <v>0</v>
      </c>
      <c r="J51" s="32" t="n">
        <v>0</v>
      </c>
      <c r="K51" s="32" t="n">
        <v>0</v>
      </c>
      <c r="L51" s="32" t="n">
        <v>0</v>
      </c>
      <c r="M51" s="32" t="n">
        <v>0</v>
      </c>
      <c r="N51" s="32" t="n">
        <v>0</v>
      </c>
      <c r="O51" s="32" t="n">
        <v>0</v>
      </c>
      <c r="P51" s="32" t="n">
        <v>0</v>
      </c>
      <c r="Q51" s="32" t="n">
        <v>0</v>
      </c>
      <c r="R51" s="32" t="n">
        <v>0</v>
      </c>
      <c r="S51" s="32" t="n">
        <v>0</v>
      </c>
      <c r="T51" s="32" t="n">
        <v>0</v>
      </c>
      <c r="U51" s="32" t="n">
        <v>0</v>
      </c>
      <c r="V51" s="32" t="n">
        <v>0</v>
      </c>
      <c r="W51" s="32" t="n">
        <v>0</v>
      </c>
      <c r="X51" s="32" t="n">
        <v>0</v>
      </c>
      <c r="Y51" s="32" t="n">
        <v>0</v>
      </c>
      <c r="Z51" s="32" t="n">
        <v>0</v>
      </c>
      <c r="AA51" s="32" t="n">
        <v>0</v>
      </c>
      <c r="AB51" s="32" t="n">
        <v>0</v>
      </c>
      <c r="AC51" s="32" t="n">
        <v>0</v>
      </c>
      <c r="AD51" s="32" t="n">
        <v>0</v>
      </c>
      <c r="AE51" s="32" t="n">
        <v>0</v>
      </c>
      <c r="AF51" s="32" t="n">
        <v>0</v>
      </c>
      <c r="AG51" s="32" t="n">
        <v>0</v>
      </c>
      <c r="AH51" s="32" t="n">
        <v>0</v>
      </c>
      <c r="AI51" s="32" t="n">
        <v>0</v>
      </c>
      <c r="AJ51" s="32" t="n">
        <v>1.33</v>
      </c>
      <c r="AK51" s="32"/>
    </row>
    <row r="52" customFormat="false" ht="15.75" hidden="false" customHeight="true" outlineLevel="0" collapsed="false">
      <c r="A52" s="31" t="n">
        <v>51</v>
      </c>
      <c r="B52" s="31" t="n">
        <f aca="false">SUM(C52:AJ52)</f>
        <v>1</v>
      </c>
      <c r="C52" s="31" t="n">
        <v>0</v>
      </c>
      <c r="D52" s="31" t="n">
        <v>0</v>
      </c>
      <c r="E52" s="31" t="n">
        <v>0</v>
      </c>
      <c r="F52" s="31" t="n">
        <v>0</v>
      </c>
      <c r="G52" s="31" t="n">
        <v>0</v>
      </c>
      <c r="H52" s="31" t="n">
        <v>0</v>
      </c>
      <c r="I52" s="31" t="n">
        <v>0</v>
      </c>
      <c r="J52" s="31" t="n">
        <v>0</v>
      </c>
      <c r="K52" s="31" t="n">
        <v>0</v>
      </c>
      <c r="L52" s="31" t="n">
        <v>0</v>
      </c>
      <c r="M52" s="31" t="n">
        <v>0</v>
      </c>
      <c r="N52" s="31" t="n">
        <v>0</v>
      </c>
      <c r="O52" s="31" t="n">
        <v>0</v>
      </c>
      <c r="P52" s="31" t="n">
        <v>0</v>
      </c>
      <c r="Q52" s="31" t="n">
        <v>0</v>
      </c>
      <c r="R52" s="31" t="n">
        <v>0</v>
      </c>
      <c r="S52" s="31" t="n">
        <v>0</v>
      </c>
      <c r="T52" s="31" t="n">
        <v>0</v>
      </c>
      <c r="U52" s="31" t="n">
        <v>0</v>
      </c>
      <c r="V52" s="31" t="n">
        <v>0</v>
      </c>
      <c r="W52" s="31" t="n">
        <v>0</v>
      </c>
      <c r="X52" s="31" t="n">
        <v>0</v>
      </c>
      <c r="Y52" s="31" t="n">
        <v>0</v>
      </c>
      <c r="Z52" s="31" t="n">
        <v>0</v>
      </c>
      <c r="AA52" s="31" t="n">
        <v>0</v>
      </c>
      <c r="AB52" s="31" t="n">
        <v>0</v>
      </c>
      <c r="AC52" s="31" t="n">
        <v>0</v>
      </c>
      <c r="AD52" s="31" t="n">
        <v>0</v>
      </c>
      <c r="AE52" s="31" t="n">
        <v>0</v>
      </c>
      <c r="AF52" s="31" t="n">
        <v>0</v>
      </c>
      <c r="AG52" s="31" t="n">
        <v>0</v>
      </c>
      <c r="AH52" s="31" t="n">
        <v>0</v>
      </c>
      <c r="AI52" s="31" t="n">
        <v>0</v>
      </c>
      <c r="AJ52" s="31" t="n">
        <v>1</v>
      </c>
      <c r="AK52" s="31"/>
    </row>
    <row r="53" customFormat="false" ht="15.75" hidden="false" customHeight="true" outlineLevel="0" collapsed="false">
      <c r="A53" s="32" t="n">
        <v>52</v>
      </c>
      <c r="B53" s="32" t="n">
        <f aca="false">SUM(C53:AJ53)</f>
        <v>0.83</v>
      </c>
      <c r="C53" s="32" t="n">
        <v>0</v>
      </c>
      <c r="D53" s="32" t="n">
        <v>0</v>
      </c>
      <c r="E53" s="32" t="n">
        <v>0</v>
      </c>
      <c r="F53" s="32" t="n">
        <v>0</v>
      </c>
      <c r="G53" s="32" t="n">
        <v>0</v>
      </c>
      <c r="H53" s="32" t="n">
        <v>0</v>
      </c>
      <c r="I53" s="32" t="n">
        <v>0</v>
      </c>
      <c r="J53" s="32" t="n">
        <v>0</v>
      </c>
      <c r="K53" s="32" t="n">
        <v>0</v>
      </c>
      <c r="L53" s="32" t="n">
        <v>0</v>
      </c>
      <c r="M53" s="32" t="n">
        <v>0</v>
      </c>
      <c r="N53" s="32" t="n">
        <v>0</v>
      </c>
      <c r="O53" s="32" t="n">
        <v>0</v>
      </c>
      <c r="P53" s="32" t="n">
        <v>0</v>
      </c>
      <c r="Q53" s="32" t="n">
        <v>0</v>
      </c>
      <c r="R53" s="32" t="n">
        <v>0</v>
      </c>
      <c r="S53" s="32" t="n">
        <v>0</v>
      </c>
      <c r="T53" s="32" t="n">
        <v>0</v>
      </c>
      <c r="U53" s="32" t="n">
        <v>0</v>
      </c>
      <c r="V53" s="32" t="n">
        <v>0</v>
      </c>
      <c r="W53" s="32" t="n">
        <v>0</v>
      </c>
      <c r="X53" s="32" t="n">
        <v>0</v>
      </c>
      <c r="Y53" s="32" t="n">
        <v>0</v>
      </c>
      <c r="Z53" s="32" t="n">
        <v>0</v>
      </c>
      <c r="AA53" s="32" t="n">
        <v>0</v>
      </c>
      <c r="AB53" s="32" t="n">
        <v>0</v>
      </c>
      <c r="AC53" s="32" t="n">
        <v>0</v>
      </c>
      <c r="AD53" s="32" t="n">
        <v>0</v>
      </c>
      <c r="AE53" s="32" t="n">
        <v>0</v>
      </c>
      <c r="AF53" s="32" t="n">
        <v>0</v>
      </c>
      <c r="AG53" s="32" t="n">
        <v>0</v>
      </c>
      <c r="AH53" s="32" t="n">
        <v>0</v>
      </c>
      <c r="AI53" s="32" t="n">
        <v>0</v>
      </c>
      <c r="AJ53" s="32" t="n">
        <v>0.83</v>
      </c>
      <c r="AK53" s="32"/>
    </row>
    <row r="54" customFormat="false" ht="15.75" hidden="false" customHeight="true" outlineLevel="0" collapsed="false">
      <c r="A54" s="31" t="n">
        <v>53</v>
      </c>
      <c r="B54" s="31" t="n">
        <f aca="false">SUM(C54:AJ54)</f>
        <v>0.75</v>
      </c>
      <c r="C54" s="31" t="n">
        <v>0</v>
      </c>
      <c r="D54" s="31" t="n">
        <v>0</v>
      </c>
      <c r="E54" s="31" t="n">
        <v>0</v>
      </c>
      <c r="F54" s="31" t="n">
        <v>0</v>
      </c>
      <c r="G54" s="31" t="n">
        <v>0</v>
      </c>
      <c r="H54" s="31" t="n">
        <v>0</v>
      </c>
      <c r="I54" s="31" t="n">
        <v>0</v>
      </c>
      <c r="J54" s="31" t="n">
        <v>0</v>
      </c>
      <c r="K54" s="31" t="n">
        <v>0</v>
      </c>
      <c r="L54" s="31" t="n">
        <v>0</v>
      </c>
      <c r="M54" s="31" t="n">
        <v>0</v>
      </c>
      <c r="N54" s="31" t="n">
        <v>0</v>
      </c>
      <c r="O54" s="31" t="n">
        <v>0</v>
      </c>
      <c r="P54" s="31" t="n">
        <v>0</v>
      </c>
      <c r="Q54" s="31" t="n">
        <v>0</v>
      </c>
      <c r="R54" s="31" t="n">
        <v>0</v>
      </c>
      <c r="S54" s="31" t="n">
        <v>0</v>
      </c>
      <c r="T54" s="31" t="n">
        <v>0</v>
      </c>
      <c r="U54" s="31" t="n">
        <v>0</v>
      </c>
      <c r="V54" s="31" t="n">
        <v>0</v>
      </c>
      <c r="W54" s="31" t="n">
        <v>0</v>
      </c>
      <c r="X54" s="31" t="n">
        <v>0</v>
      </c>
      <c r="Y54" s="31" t="n">
        <v>0</v>
      </c>
      <c r="Z54" s="31" t="n">
        <v>0</v>
      </c>
      <c r="AA54" s="31" t="n">
        <v>0</v>
      </c>
      <c r="AB54" s="31" t="n">
        <v>0</v>
      </c>
      <c r="AC54" s="31" t="n">
        <v>0</v>
      </c>
      <c r="AD54" s="31" t="n">
        <v>0</v>
      </c>
      <c r="AE54" s="31" t="n">
        <v>0</v>
      </c>
      <c r="AF54" s="31" t="n">
        <v>0</v>
      </c>
      <c r="AG54" s="31" t="n">
        <v>0</v>
      </c>
      <c r="AH54" s="31" t="n">
        <v>0</v>
      </c>
      <c r="AI54" s="31" t="n">
        <v>0</v>
      </c>
      <c r="AJ54" s="31" t="n">
        <v>0.75</v>
      </c>
      <c r="AK54" s="31"/>
    </row>
    <row r="55" customFormat="false" ht="15.75" hidden="false" customHeight="true" outlineLevel="0" collapsed="false">
      <c r="A55" s="32" t="n">
        <v>54</v>
      </c>
      <c r="B55" s="32" t="n">
        <f aca="false">SUM(C55:AJ55)</f>
        <v>0.75</v>
      </c>
      <c r="C55" s="32" t="n">
        <v>0</v>
      </c>
      <c r="D55" s="32" t="n">
        <v>0</v>
      </c>
      <c r="E55" s="32" t="n">
        <v>0</v>
      </c>
      <c r="F55" s="32" t="n">
        <v>0</v>
      </c>
      <c r="G55" s="32" t="n">
        <v>0</v>
      </c>
      <c r="H55" s="32" t="n">
        <v>0</v>
      </c>
      <c r="I55" s="32" t="n">
        <v>0</v>
      </c>
      <c r="J55" s="32" t="n">
        <v>0</v>
      </c>
      <c r="K55" s="32" t="n">
        <v>0</v>
      </c>
      <c r="L55" s="32" t="n">
        <v>0</v>
      </c>
      <c r="M55" s="32" t="n">
        <v>0</v>
      </c>
      <c r="N55" s="32" t="n">
        <v>0</v>
      </c>
      <c r="O55" s="32" t="n">
        <v>0</v>
      </c>
      <c r="P55" s="32" t="n">
        <v>0</v>
      </c>
      <c r="Q55" s="32" t="n">
        <v>0</v>
      </c>
      <c r="R55" s="32" t="n">
        <v>0</v>
      </c>
      <c r="S55" s="32" t="n">
        <v>0</v>
      </c>
      <c r="T55" s="32" t="n">
        <v>0</v>
      </c>
      <c r="U55" s="32" t="n">
        <v>0</v>
      </c>
      <c r="V55" s="32" t="n">
        <v>0</v>
      </c>
      <c r="W55" s="32" t="n">
        <v>0</v>
      </c>
      <c r="X55" s="32" t="n">
        <v>0</v>
      </c>
      <c r="Y55" s="32" t="n">
        <v>0</v>
      </c>
      <c r="Z55" s="32" t="n">
        <v>0</v>
      </c>
      <c r="AA55" s="32" t="n">
        <v>0</v>
      </c>
      <c r="AB55" s="32" t="n">
        <v>0</v>
      </c>
      <c r="AC55" s="32" t="n">
        <v>0</v>
      </c>
      <c r="AD55" s="32" t="n">
        <v>0</v>
      </c>
      <c r="AE55" s="32" t="n">
        <v>0</v>
      </c>
      <c r="AF55" s="32" t="n">
        <v>0</v>
      </c>
      <c r="AG55" s="32" t="n">
        <v>0</v>
      </c>
      <c r="AH55" s="32" t="n">
        <v>0</v>
      </c>
      <c r="AI55" s="32" t="n">
        <v>0</v>
      </c>
      <c r="AJ55" s="32" t="n">
        <v>0.75</v>
      </c>
      <c r="AK55" s="32"/>
    </row>
    <row r="56" customFormat="false" ht="15.75" hidden="false" customHeight="true" outlineLevel="0" collapsed="false">
      <c r="A56" s="31" t="n">
        <v>55</v>
      </c>
      <c r="B56" s="31" t="n">
        <f aca="false">SUM(C56:AJ56)</f>
        <v>0.58</v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0</v>
      </c>
      <c r="P56" s="31" t="n">
        <v>0</v>
      </c>
      <c r="Q56" s="31" t="n">
        <v>0</v>
      </c>
      <c r="R56" s="31" t="n">
        <v>0</v>
      </c>
      <c r="S56" s="31" t="n">
        <v>0</v>
      </c>
      <c r="T56" s="31" t="n">
        <v>0</v>
      </c>
      <c r="U56" s="31" t="n">
        <v>0</v>
      </c>
      <c r="V56" s="31" t="n">
        <v>0</v>
      </c>
      <c r="W56" s="31" t="n">
        <v>0</v>
      </c>
      <c r="X56" s="31" t="n">
        <v>0</v>
      </c>
      <c r="Y56" s="31" t="n">
        <v>0</v>
      </c>
      <c r="Z56" s="31" t="n">
        <v>0</v>
      </c>
      <c r="AA56" s="31" t="n">
        <v>0</v>
      </c>
      <c r="AB56" s="31" t="n">
        <v>0</v>
      </c>
      <c r="AC56" s="31" t="n">
        <v>0</v>
      </c>
      <c r="AD56" s="31" t="n">
        <v>0</v>
      </c>
      <c r="AE56" s="31" t="n">
        <v>0</v>
      </c>
      <c r="AF56" s="31" t="n">
        <v>0</v>
      </c>
      <c r="AG56" s="31" t="n">
        <v>0</v>
      </c>
      <c r="AH56" s="31" t="n">
        <v>0</v>
      </c>
      <c r="AI56" s="31" t="n">
        <v>0</v>
      </c>
      <c r="AJ56" s="31" t="n">
        <v>0.58</v>
      </c>
      <c r="AK56" s="31"/>
    </row>
    <row r="57" customFormat="false" ht="15.75" hidden="false" customHeight="true" outlineLevel="0" collapsed="false">
      <c r="A57" s="32" t="n">
        <v>56</v>
      </c>
      <c r="B57" s="32" t="n">
        <f aca="false">SUM(C57:AJ57)</f>
        <v>1.5</v>
      </c>
      <c r="C57" s="32" t="n">
        <v>0</v>
      </c>
      <c r="D57" s="32" t="n">
        <v>0</v>
      </c>
      <c r="E57" s="32" t="n">
        <v>0</v>
      </c>
      <c r="F57" s="32" t="n">
        <v>0</v>
      </c>
      <c r="G57" s="32" t="n">
        <v>0</v>
      </c>
      <c r="H57" s="32" t="n">
        <v>0</v>
      </c>
      <c r="I57" s="32" t="n">
        <v>0</v>
      </c>
      <c r="J57" s="32" t="n">
        <v>0</v>
      </c>
      <c r="K57" s="32" t="n">
        <v>0</v>
      </c>
      <c r="L57" s="32" t="n">
        <v>0</v>
      </c>
      <c r="M57" s="32" t="n">
        <v>0</v>
      </c>
      <c r="N57" s="32" t="n">
        <v>0</v>
      </c>
      <c r="O57" s="32" t="n">
        <v>0</v>
      </c>
      <c r="P57" s="32" t="n">
        <v>0</v>
      </c>
      <c r="Q57" s="32" t="n">
        <v>0</v>
      </c>
      <c r="R57" s="32" t="n">
        <v>0</v>
      </c>
      <c r="S57" s="32" t="n">
        <v>0</v>
      </c>
      <c r="T57" s="32" t="n">
        <v>0</v>
      </c>
      <c r="U57" s="32" t="n">
        <v>0</v>
      </c>
      <c r="V57" s="32" t="n">
        <v>0</v>
      </c>
      <c r="W57" s="32" t="n">
        <v>0</v>
      </c>
      <c r="X57" s="32" t="n">
        <v>0</v>
      </c>
      <c r="Y57" s="32" t="n">
        <v>0</v>
      </c>
      <c r="Z57" s="32" t="n">
        <v>0</v>
      </c>
      <c r="AA57" s="32" t="n">
        <v>0</v>
      </c>
      <c r="AB57" s="32" t="n">
        <v>0</v>
      </c>
      <c r="AC57" s="32" t="n">
        <v>0</v>
      </c>
      <c r="AD57" s="32" t="n">
        <v>0</v>
      </c>
      <c r="AE57" s="32" t="n">
        <v>0</v>
      </c>
      <c r="AF57" s="32" t="n">
        <v>0</v>
      </c>
      <c r="AG57" s="32" t="n">
        <v>0</v>
      </c>
      <c r="AH57" s="32" t="n">
        <v>0</v>
      </c>
      <c r="AI57" s="32" t="n">
        <v>0</v>
      </c>
      <c r="AJ57" s="32" t="n">
        <v>1.5</v>
      </c>
      <c r="AK57" s="32"/>
    </row>
    <row r="58" customFormat="false" ht="15.75" hidden="false" customHeight="true" outlineLevel="0" collapsed="false">
      <c r="A58" s="31" t="n">
        <v>57</v>
      </c>
      <c r="B58" s="31" t="n">
        <f aca="false">SUM(C58:AJ58)</f>
        <v>0.67</v>
      </c>
      <c r="C58" s="31" t="n">
        <v>0</v>
      </c>
      <c r="D58" s="31" t="n">
        <v>0</v>
      </c>
      <c r="E58" s="31" t="n">
        <v>0</v>
      </c>
      <c r="F58" s="31" t="n">
        <v>0</v>
      </c>
      <c r="G58" s="31" t="n">
        <v>0</v>
      </c>
      <c r="H58" s="31" t="n">
        <v>0</v>
      </c>
      <c r="I58" s="31" t="n">
        <v>0</v>
      </c>
      <c r="J58" s="31" t="n">
        <v>0</v>
      </c>
      <c r="K58" s="31" t="n">
        <v>0</v>
      </c>
      <c r="L58" s="31" t="n">
        <v>0</v>
      </c>
      <c r="M58" s="31" t="n">
        <v>0</v>
      </c>
      <c r="N58" s="31" t="n">
        <v>0</v>
      </c>
      <c r="O58" s="31" t="n">
        <v>0</v>
      </c>
      <c r="P58" s="31" t="n">
        <v>0</v>
      </c>
      <c r="Q58" s="31" t="n">
        <v>0</v>
      </c>
      <c r="R58" s="31" t="n">
        <v>0</v>
      </c>
      <c r="S58" s="31" t="n">
        <v>0</v>
      </c>
      <c r="T58" s="31" t="n">
        <v>0</v>
      </c>
      <c r="U58" s="31" t="n">
        <v>0</v>
      </c>
      <c r="V58" s="31" t="n">
        <v>0</v>
      </c>
      <c r="W58" s="31" t="n">
        <v>0</v>
      </c>
      <c r="X58" s="31" t="n">
        <v>0</v>
      </c>
      <c r="Y58" s="31" t="n">
        <v>0</v>
      </c>
      <c r="Z58" s="31" t="n">
        <v>0</v>
      </c>
      <c r="AA58" s="31" t="n">
        <v>0</v>
      </c>
      <c r="AB58" s="31" t="n">
        <v>0</v>
      </c>
      <c r="AC58" s="31" t="n">
        <v>0</v>
      </c>
      <c r="AD58" s="31" t="n">
        <v>0</v>
      </c>
      <c r="AE58" s="31" t="n">
        <v>0</v>
      </c>
      <c r="AF58" s="31" t="n">
        <v>0</v>
      </c>
      <c r="AG58" s="31" t="n">
        <v>0</v>
      </c>
      <c r="AH58" s="31" t="n">
        <v>0</v>
      </c>
      <c r="AI58" s="31" t="n">
        <v>0</v>
      </c>
      <c r="AJ58" s="31" t="n">
        <v>0.67</v>
      </c>
      <c r="AK58" s="31"/>
    </row>
    <row r="59" customFormat="false" ht="15.75" hidden="false" customHeight="true" outlineLevel="0" collapsed="false">
      <c r="A59" s="32" t="n">
        <v>58</v>
      </c>
      <c r="B59" s="32" t="n">
        <f aca="false">SUM(C59:AJ59)</f>
        <v>0.5</v>
      </c>
      <c r="C59" s="32" t="n">
        <v>0</v>
      </c>
      <c r="D59" s="32" t="n">
        <v>0</v>
      </c>
      <c r="E59" s="32" t="n">
        <v>0</v>
      </c>
      <c r="F59" s="32" t="n">
        <v>0</v>
      </c>
      <c r="G59" s="32" t="n">
        <v>0</v>
      </c>
      <c r="H59" s="32" t="n">
        <v>0</v>
      </c>
      <c r="I59" s="32" t="n">
        <v>0</v>
      </c>
      <c r="J59" s="32" t="n">
        <v>0</v>
      </c>
      <c r="K59" s="32" t="n">
        <v>0</v>
      </c>
      <c r="L59" s="32" t="n">
        <v>0</v>
      </c>
      <c r="M59" s="32" t="n">
        <v>0</v>
      </c>
      <c r="N59" s="32" t="n">
        <v>0</v>
      </c>
      <c r="O59" s="32" t="n">
        <v>0</v>
      </c>
      <c r="P59" s="32" t="n">
        <v>0</v>
      </c>
      <c r="Q59" s="32" t="n">
        <v>0</v>
      </c>
      <c r="R59" s="32" t="n">
        <v>0</v>
      </c>
      <c r="S59" s="32" t="n">
        <v>0</v>
      </c>
      <c r="T59" s="32" t="n">
        <v>0</v>
      </c>
      <c r="U59" s="32" t="n">
        <v>0</v>
      </c>
      <c r="V59" s="32" t="n">
        <v>0</v>
      </c>
      <c r="W59" s="32" t="n">
        <v>0</v>
      </c>
      <c r="X59" s="32" t="n">
        <v>0</v>
      </c>
      <c r="Y59" s="32" t="n">
        <v>0</v>
      </c>
      <c r="Z59" s="32" t="n">
        <v>0</v>
      </c>
      <c r="AA59" s="32" t="n">
        <v>0</v>
      </c>
      <c r="AB59" s="32" t="n">
        <v>0</v>
      </c>
      <c r="AC59" s="32" t="n">
        <v>0</v>
      </c>
      <c r="AD59" s="32" t="n">
        <v>0</v>
      </c>
      <c r="AE59" s="32" t="n">
        <v>0</v>
      </c>
      <c r="AF59" s="32" t="n">
        <v>0</v>
      </c>
      <c r="AG59" s="32" t="n">
        <v>0</v>
      </c>
      <c r="AH59" s="32" t="n">
        <v>0</v>
      </c>
      <c r="AI59" s="32" t="n">
        <v>0</v>
      </c>
      <c r="AJ59" s="32" t="n">
        <v>0.5</v>
      </c>
      <c r="AK59" s="32"/>
    </row>
    <row r="60" customFormat="false" ht="15.75" hidden="false" customHeight="true" outlineLevel="0" collapsed="false">
      <c r="A60" s="31" t="n">
        <v>59</v>
      </c>
      <c r="B60" s="31" t="n">
        <f aca="false">SUM(C60:AJ60)</f>
        <v>0.58</v>
      </c>
      <c r="C60" s="31" t="n">
        <v>0.58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</row>
    <row r="61" customFormat="false" ht="15.75" hidden="false" customHeight="true" outlineLevel="0" collapsed="false">
      <c r="A61" s="32" t="n">
        <v>60</v>
      </c>
      <c r="B61" s="32" t="n">
        <f aca="false">SUM(C61:AJ61)</f>
        <v>1.25</v>
      </c>
      <c r="C61" s="32" t="n">
        <v>1.25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</row>
    <row r="62" customFormat="false" ht="15.75" hidden="false" customHeight="true" outlineLevel="0" collapsed="false">
      <c r="A62" s="33" t="n">
        <v>63</v>
      </c>
      <c r="B62" s="33" t="n">
        <v>0.75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 t="n">
        <v>0.75</v>
      </c>
    </row>
    <row r="63" customFormat="false" ht="15.75" hidden="false" customHeight="true" outlineLevel="0" collapsed="false">
      <c r="A63" s="33" t="n">
        <v>64</v>
      </c>
      <c r="B63" s="33" t="n">
        <v>0.67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 t="n">
        <v>0.67</v>
      </c>
    </row>
    <row r="64" customFormat="false" ht="15.75" hidden="false" customHeight="true" outlineLevel="0" collapsed="false">
      <c r="A64" s="33" t="n">
        <v>65</v>
      </c>
      <c r="B64" s="33" t="n">
        <v>1</v>
      </c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 t="n">
        <v>1</v>
      </c>
    </row>
    <row r="65" customFormat="false" ht="15.75" hidden="false" customHeight="true" outlineLevel="0" collapsed="false">
      <c r="A65" s="33" t="n">
        <v>66</v>
      </c>
      <c r="B65" s="33" t="n">
        <v>0.83</v>
      </c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 t="n">
        <v>0.83</v>
      </c>
    </row>
    <row r="66" customFormat="false" ht="15.75" hidden="false" customHeight="true" outlineLevel="0" collapsed="false">
      <c r="A66" s="33" t="n">
        <v>67</v>
      </c>
      <c r="B66" s="33" t="n">
        <v>0.67</v>
      </c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 t="n">
        <v>0.67</v>
      </c>
    </row>
    <row r="67" customFormat="false" ht="15.75" hidden="false" customHeight="true" outlineLevel="0" collapsed="false">
      <c r="A67" s="33" t="n">
        <v>68</v>
      </c>
      <c r="B67" s="33" t="n">
        <v>1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 t="n">
        <v>1</v>
      </c>
    </row>
    <row r="68" customFormat="false" ht="15.75" hidden="false" customHeight="true" outlineLevel="0" collapsed="false">
      <c r="A68" s="33" t="n">
        <v>69</v>
      </c>
      <c r="B68" s="33" t="n">
        <v>0.75</v>
      </c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 t="n">
        <v>0.75</v>
      </c>
    </row>
    <row r="69" customFormat="false" ht="15.75" hidden="false" customHeight="true" outlineLevel="0" collapsed="false">
      <c r="A69" s="33" t="n">
        <v>70</v>
      </c>
      <c r="B69" s="33" t="n">
        <v>1.33</v>
      </c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 t="n">
        <v>1.33</v>
      </c>
    </row>
    <row r="70" customFormat="false" ht="15.75" hidden="false" customHeight="true" outlineLevel="0" collapsed="false">
      <c r="A70" s="33" t="n">
        <v>71</v>
      </c>
      <c r="B70" s="33" t="n">
        <v>0.83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 t="n">
        <v>0.83</v>
      </c>
    </row>
    <row r="71" customFormat="false" ht="15.75" hidden="false" customHeight="true" outlineLevel="0" collapsed="false">
      <c r="A71" s="33" t="n">
        <v>72</v>
      </c>
      <c r="B71" s="33" t="n">
        <v>0.58</v>
      </c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 t="n">
        <v>0.58</v>
      </c>
    </row>
    <row r="72" customFormat="false" ht="15.75" hidden="false" customHeight="true" outlineLevel="0" collapsed="false">
      <c r="A72" s="33" t="n">
        <v>73</v>
      </c>
      <c r="B72" s="33" t="n">
        <v>0.5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 t="n">
        <v>0.5</v>
      </c>
    </row>
    <row r="73" customFormat="false" ht="15.75" hidden="false" customHeight="true" outlineLevel="0" collapsed="false">
      <c r="A73" s="33" t="n">
        <v>74</v>
      </c>
      <c r="B73" s="33" t="n">
        <v>0.83</v>
      </c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 t="n">
        <v>0.83</v>
      </c>
    </row>
    <row r="74" customFormat="false" ht="15.75" hidden="false" customHeight="true" outlineLevel="0" collapsed="false">
      <c r="A74" s="33" t="n">
        <v>75</v>
      </c>
      <c r="B74" s="33" t="n">
        <v>1.25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 t="n">
        <v>1.25</v>
      </c>
    </row>
    <row r="75" customFormat="false" ht="15.75" hidden="false" customHeight="true" outlineLevel="0" collapsed="false">
      <c r="A75" s="33" t="n">
        <v>76</v>
      </c>
      <c r="B75" s="33" t="n">
        <v>1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 t="n">
        <v>1</v>
      </c>
    </row>
    <row r="76" customFormat="false" ht="15.75" hidden="false" customHeight="true" outlineLevel="0" collapsed="false">
      <c r="A76" s="33" t="n">
        <v>77</v>
      </c>
      <c r="B76" s="33" t="n">
        <v>0.58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 t="n">
        <v>0.58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18"/>
  </cols>
  <sheetData>
    <row r="1" customFormat="false" ht="33.75" hidden="false" customHeight="true" outlineLevel="0" collapsed="false">
      <c r="A1" s="6" t="s">
        <v>246</v>
      </c>
      <c r="B1" s="6"/>
      <c r="C1" s="6"/>
      <c r="D1" s="6"/>
      <c r="E1" s="6"/>
      <c r="F1" s="6"/>
    </row>
    <row r="2" customFormat="false" ht="7.5" hidden="false" customHeight="true" outlineLevel="0" collapsed="false">
      <c r="A2" s="34"/>
      <c r="B2" s="34"/>
      <c r="C2" s="34"/>
      <c r="D2" s="34"/>
      <c r="E2" s="34"/>
    </row>
    <row r="3" customFormat="false" ht="27.75" hidden="false" customHeight="true" outlineLevel="0" collapsed="false">
      <c r="A3" s="35" t="s">
        <v>247</v>
      </c>
      <c r="B3" s="35" t="s">
        <v>248</v>
      </c>
      <c r="C3" s="35" t="s">
        <v>249</v>
      </c>
      <c r="D3" s="36" t="s">
        <v>250</v>
      </c>
      <c r="E3" s="36" t="s">
        <v>251</v>
      </c>
      <c r="F3" s="35" t="s">
        <v>252</v>
      </c>
    </row>
    <row r="4" customFormat="false" ht="31.5" hidden="false" customHeight="true" outlineLevel="0" collapsed="false">
      <c r="A4" s="37" t="n">
        <f aca="false">SUM('liste des taches'!J:J)</f>
        <v>79.97</v>
      </c>
      <c r="B4" s="37" t="n">
        <f aca="false">SUM('liste des taches'!K:K)</f>
        <v>93.37</v>
      </c>
      <c r="C4" s="37" t="n">
        <f aca="false">SUM('liste des taches'!L:L)</f>
        <v>-5.82</v>
      </c>
      <c r="D4" s="38" t="n">
        <f aca="false">IF(A4=0,0,B4/A4)</f>
        <v>1.16756283606352</v>
      </c>
      <c r="E4" s="39" t="n">
        <f aca="false">IF(A4=0,0,(B4-A4)/A4)</f>
        <v>0.167562836063524</v>
      </c>
      <c r="F4" s="40" t="n">
        <f aca="false">IF(C4=0,0,C4/8)</f>
        <v>-0.7275</v>
      </c>
      <c r="G4" s="0" t="s">
        <v>253</v>
      </c>
    </row>
    <row r="5" customFormat="false" ht="12" hidden="false" customHeight="true" outlineLevel="0" collapsed="false"/>
    <row r="6" customFormat="false" ht="24" hidden="false" customHeight="true" outlineLevel="0" collapsed="false">
      <c r="A6" s="41" t="s">
        <v>254</v>
      </c>
      <c r="B6" s="41"/>
      <c r="C6" s="41"/>
      <c r="D6" s="41"/>
      <c r="E6" s="41"/>
      <c r="F6" s="41"/>
    </row>
    <row r="7" customFormat="false" ht="21.75" hidden="false" customHeight="true" outlineLevel="0" collapsed="false">
      <c r="A7" s="35" t="s">
        <v>18</v>
      </c>
      <c r="B7" s="35" t="s">
        <v>255</v>
      </c>
      <c r="C7" s="35" t="s">
        <v>26</v>
      </c>
      <c r="D7" s="35" t="s">
        <v>27</v>
      </c>
      <c r="E7" s="35" t="s">
        <v>29</v>
      </c>
      <c r="F7" s="35" t="s">
        <v>30</v>
      </c>
    </row>
    <row r="8" customFormat="false" ht="21.75" hidden="false" customHeight="true" outlineLevel="0" collapsed="false">
      <c r="A8" s="42" t="s">
        <v>32</v>
      </c>
      <c r="B8" s="43" t="n">
        <f aca="false">COUNTIF('liste des taches'!B:B,"V1")</f>
        <v>15</v>
      </c>
      <c r="C8" s="43" t="n">
        <f aca="false">SUMIFS('liste des taches'!J:J,'liste des taches'!B:B,"V1")</f>
        <v>12.66</v>
      </c>
      <c r="D8" s="43" t="n">
        <f aca="false">SUMIFS('liste des taches'!K:K,'liste des taches'!B:B,"V1")</f>
        <v>14.18</v>
      </c>
      <c r="E8" s="44" t="n">
        <f aca="false">IF(C8=0,0,D8/C8)</f>
        <v>1.12006319115324</v>
      </c>
      <c r="F8" s="45" t="str">
        <f aca="false">IF(E8&gt;=1,"✅ Fait",IF(E8&gt;0,"🔄 En cours","⏳ À faire"))</f>
        <v>✅ Fait</v>
      </c>
    </row>
    <row r="9" customFormat="false" ht="21.75" hidden="false" customHeight="true" outlineLevel="0" collapsed="false">
      <c r="A9" s="46" t="s">
        <v>83</v>
      </c>
      <c r="B9" s="47" t="n">
        <f aca="false">COUNTIF('liste des taches'!B:B,"V2")</f>
        <v>15</v>
      </c>
      <c r="C9" s="47" t="n">
        <f aca="false">SUMIFS('liste des taches'!J:J,'liste des taches'!B:B,"V2")</f>
        <v>19.42</v>
      </c>
      <c r="D9" s="47" t="n">
        <f aca="false">SUMIFS('liste des taches'!K:K,'liste des taches'!B:B,"V2")</f>
        <v>19.42</v>
      </c>
      <c r="E9" s="48" t="n">
        <f aca="false">IF(C9=0,0,D9/C9)</f>
        <v>1</v>
      </c>
      <c r="F9" s="49" t="str">
        <f aca="false">IF(E9&gt;=1,"✅ Fait",IF(E9&gt;0,"🔄 En cours","⏳ À faire"))</f>
        <v>✅ Fait</v>
      </c>
    </row>
    <row r="10" customFormat="false" ht="21.75" hidden="false" customHeight="true" outlineLevel="0" collapsed="false">
      <c r="A10" s="50" t="s">
        <v>128</v>
      </c>
      <c r="B10" s="43" t="n">
        <f aca="false">COUNTIF('liste des taches'!B:B,"V3")</f>
        <v>19</v>
      </c>
      <c r="C10" s="43" t="n">
        <f aca="false">SUMIFS('liste des taches'!J:J,'liste des taches'!B:B,"V3")</f>
        <v>21.98</v>
      </c>
      <c r="D10" s="43" t="n">
        <f aca="false">SUMIFS('liste des taches'!K:K,'liste des taches'!B:B,"V3")</f>
        <v>26.48</v>
      </c>
      <c r="E10" s="44" t="n">
        <f aca="false">IF(C10=0,0,D10/C10)</f>
        <v>1.20473157415833</v>
      </c>
      <c r="F10" s="45" t="str">
        <f aca="false">IF(E10&gt;=1,"✅ Fait",IF(E10&gt;0,"🔄 En cours","⏳ À faire"))</f>
        <v>✅ Fait</v>
      </c>
    </row>
    <row r="11" customFormat="false" ht="21.75" hidden="false" customHeight="true" outlineLevel="0" collapsed="false">
      <c r="A11" s="51" t="s">
        <v>153</v>
      </c>
      <c r="B11" s="47" t="n">
        <f aca="false">COUNTIF('liste des taches'!B:B,"V4")</f>
        <v>14</v>
      </c>
      <c r="C11" s="47" t="n">
        <f aca="false">SUMIFS('liste des taches'!J:J,'liste des taches'!B:B,"V4")</f>
        <v>11.84</v>
      </c>
      <c r="D11" s="47" t="n">
        <f aca="false">SUMIFS('liste des taches'!K:K,'liste des taches'!B:B,"V4")</f>
        <v>17.17</v>
      </c>
      <c r="E11" s="48" t="n">
        <f aca="false">IF(C11=0,0,D11/C11)</f>
        <v>1.45016891891892</v>
      </c>
      <c r="F11" s="49" t="str">
        <f aca="false">IF(E11&gt;=1,"✅ Fait",IF(E11&gt;0,"🔄 En cours","⏳ À faire"))</f>
        <v>✅ Fait</v>
      </c>
    </row>
    <row r="12" customFormat="false" ht="21.75" hidden="false" customHeight="true" outlineLevel="0" collapsed="false">
      <c r="A12" s="52" t="s">
        <v>177</v>
      </c>
      <c r="B12" s="43" t="n">
        <f aca="false">COUNTIF('liste des taches'!B:B,"V5")</f>
        <v>12</v>
      </c>
      <c r="C12" s="43" t="n">
        <f aca="false">SUMIFS('liste des taches'!J:J,'liste des taches'!B:B,"V5")</f>
        <v>14.07</v>
      </c>
      <c r="D12" s="43" t="n">
        <f aca="false">SUMIFS('liste des taches'!K:K,'liste des taches'!B:B,"V5")</f>
        <v>16.12</v>
      </c>
      <c r="E12" s="44" t="n">
        <f aca="false">IF(C12=0,0,D12/C12)</f>
        <v>1.14570007107321</v>
      </c>
      <c r="F12" s="45" t="str">
        <f aca="false">IF(E12&gt;=1,"✅ Fait",IF(E12&gt;0,"🔄 En cours","⏳ À faire"))</f>
        <v>✅ Fait</v>
      </c>
    </row>
    <row r="13" customFormat="false" ht="21.75" hidden="false" customHeight="true" outlineLevel="0" collapsed="false">
      <c r="A13" s="53" t="s">
        <v>256</v>
      </c>
      <c r="B13" s="54" t="s">
        <v>257</v>
      </c>
      <c r="C13" s="54"/>
      <c r="D13" s="54"/>
      <c r="E13" s="54"/>
      <c r="F13" s="54"/>
    </row>
  </sheetData>
  <mergeCells count="3">
    <mergeCell ref="A1:F1"/>
    <mergeCell ref="A6:F6"/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0"/>
  </cols>
  <sheetData>
    <row r="1" customFormat="false" ht="30" hidden="false" customHeight="true" outlineLevel="0" collapsed="false">
      <c r="A1" s="55" t="s">
        <v>258</v>
      </c>
      <c r="B1" s="55"/>
    </row>
    <row r="2" customFormat="false" ht="21.75" hidden="false" customHeight="true" outlineLevel="0" collapsed="false">
      <c r="A2" s="56" t="s">
        <v>34</v>
      </c>
      <c r="B2" s="57" t="s">
        <v>259</v>
      </c>
    </row>
    <row r="3" customFormat="false" ht="21.75" hidden="false" customHeight="true" outlineLevel="0" collapsed="false">
      <c r="A3" s="58" t="s">
        <v>260</v>
      </c>
      <c r="B3" s="59" t="s">
        <v>261</v>
      </c>
    </row>
    <row r="4" customFormat="false" ht="21.75" hidden="false" customHeight="true" outlineLevel="0" collapsed="false">
      <c r="A4" s="56" t="s">
        <v>1</v>
      </c>
      <c r="B4" s="57" t="s">
        <v>5</v>
      </c>
    </row>
    <row r="5" customFormat="false" ht="21.75" hidden="false" customHeight="true" outlineLevel="0" collapsed="false">
      <c r="A5" s="58" t="s">
        <v>262</v>
      </c>
      <c r="B5" s="59" t="s">
        <v>263</v>
      </c>
    </row>
    <row r="6" customFormat="false" ht="21.75" hidden="false" customHeight="true" outlineLevel="0" collapsed="false">
      <c r="A6" s="56" t="s">
        <v>264</v>
      </c>
      <c r="B6" s="57" t="n">
        <f aca="false">COUNTA('liste des taches'!A:A)-1</f>
        <v>78</v>
      </c>
    </row>
    <row r="7" customFormat="false" ht="21.75" hidden="false" customHeight="true" outlineLevel="0" collapsed="false">
      <c r="A7" s="58" t="s">
        <v>247</v>
      </c>
      <c r="B7" s="59" t="n">
        <f aca="false">avancement!A2</f>
        <v>0</v>
      </c>
    </row>
    <row r="8" customFormat="false" ht="21.75" hidden="false" customHeight="true" outlineLevel="0" collapsed="false">
      <c r="A8" s="56" t="s">
        <v>265</v>
      </c>
      <c r="B8" s="57" t="n">
        <f aca="false">avancement!B2</f>
        <v>0</v>
      </c>
    </row>
    <row r="9" customFormat="false" ht="21.75" hidden="false" customHeight="true" outlineLevel="0" collapsed="false">
      <c r="A9" s="58" t="s">
        <v>249</v>
      </c>
      <c r="B9" s="59" t="n">
        <f aca="false">avancement!C2</f>
        <v>0</v>
      </c>
    </row>
    <row r="10" customFormat="false" ht="21.75" hidden="false" customHeight="true" outlineLevel="0" collapsed="false">
      <c r="A10" s="56" t="s">
        <v>250</v>
      </c>
      <c r="B10" s="60" t="n">
        <f aca="false">avancement!D2</f>
        <v>0</v>
      </c>
    </row>
    <row r="11" customFormat="false" ht="21.75" hidden="false" customHeight="true" outlineLevel="0" collapsed="false">
      <c r="A11" s="58" t="s">
        <v>266</v>
      </c>
      <c r="B11" s="59" t="s">
        <v>267</v>
      </c>
    </row>
    <row r="12" customFormat="false" ht="21.75" hidden="false" customHeight="true" outlineLevel="0" collapsed="false">
      <c r="A12" s="61"/>
      <c r="B12" s="62"/>
    </row>
    <row r="13" customFormat="false" ht="21.75" hidden="false" customHeight="true" outlineLevel="0" collapsed="false">
      <c r="A13" s="58" t="s">
        <v>268</v>
      </c>
      <c r="B13" s="59" t="s">
        <v>30</v>
      </c>
    </row>
    <row r="14" customFormat="false" ht="21.75" hidden="false" customHeight="true" outlineLevel="0" collapsed="false">
      <c r="A14" s="56" t="s">
        <v>269</v>
      </c>
      <c r="B14" s="57" t="s">
        <v>39</v>
      </c>
    </row>
    <row r="15" customFormat="false" ht="21.75" hidden="false" customHeight="true" outlineLevel="0" collapsed="false">
      <c r="A15" s="58" t="s">
        <v>270</v>
      </c>
      <c r="B15" s="59" t="s">
        <v>39</v>
      </c>
    </row>
    <row r="16" customFormat="false" ht="21.75" hidden="false" customHeight="true" outlineLevel="0" collapsed="false">
      <c r="A16" s="56" t="s">
        <v>271</v>
      </c>
      <c r="B16" s="57" t="s">
        <v>39</v>
      </c>
    </row>
    <row r="17" customFormat="false" ht="21.75" hidden="false" customHeight="true" outlineLevel="0" collapsed="false">
      <c r="A17" s="58" t="s">
        <v>147</v>
      </c>
      <c r="B17" s="59" t="s">
        <v>39</v>
      </c>
    </row>
    <row r="18" customFormat="false" ht="21.75" hidden="false" customHeight="true" outlineLevel="0" collapsed="false">
      <c r="A18" s="56" t="s">
        <v>272</v>
      </c>
      <c r="B18" s="57" t="s">
        <v>273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75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10" min="8" style="1" width="10"/>
  </cols>
  <sheetData>
    <row r="1" customFormat="false" ht="30" hidden="false" customHeight="true" outlineLevel="0" collapsed="false">
      <c r="A1" s="63" t="s">
        <v>274</v>
      </c>
      <c r="B1" s="63"/>
      <c r="C1" s="63"/>
      <c r="D1" s="63"/>
      <c r="E1" s="63"/>
      <c r="F1" s="63"/>
      <c r="G1" s="63"/>
      <c r="H1" s="63"/>
      <c r="I1" s="63"/>
      <c r="J1" s="63"/>
    </row>
    <row r="2" customFormat="false" ht="18" hidden="false" customHeight="true" outlineLevel="0" collapsed="false">
      <c r="A2" s="64" t="s">
        <v>18</v>
      </c>
      <c r="B2" s="65" t="s">
        <v>32</v>
      </c>
      <c r="C2" s="62"/>
      <c r="D2" s="62"/>
      <c r="E2" s="62"/>
      <c r="F2" s="62"/>
      <c r="G2" s="62"/>
      <c r="H2" s="62"/>
      <c r="I2" s="62"/>
      <c r="J2" s="62"/>
    </row>
    <row r="3" customFormat="false" ht="18" hidden="false" customHeight="true" outlineLevel="0" collapsed="false">
      <c r="A3" s="66" t="s">
        <v>275</v>
      </c>
      <c r="B3" s="67" t="s">
        <v>276</v>
      </c>
      <c r="C3" s="62"/>
      <c r="D3" s="62"/>
      <c r="E3" s="62"/>
      <c r="F3" s="62"/>
      <c r="G3" s="62"/>
      <c r="H3" s="62"/>
      <c r="I3" s="62"/>
      <c r="J3" s="62"/>
    </row>
    <row r="4" customFormat="false" ht="18" hidden="false" customHeight="true" outlineLevel="0" collapsed="false">
      <c r="A4" s="66" t="s">
        <v>277</v>
      </c>
      <c r="B4" s="67" t="s">
        <v>278</v>
      </c>
      <c r="C4" s="62"/>
      <c r="D4" s="62"/>
      <c r="E4" s="62"/>
      <c r="F4" s="62"/>
      <c r="G4" s="62"/>
      <c r="H4" s="62"/>
      <c r="I4" s="62"/>
      <c r="J4" s="62"/>
    </row>
    <row r="5" customFormat="false" ht="18" hidden="false" customHeight="true" outlineLevel="0" collapsed="false">
      <c r="A5" s="62"/>
      <c r="B5" s="62"/>
      <c r="C5" s="62"/>
      <c r="D5" s="62"/>
      <c r="E5" s="62"/>
      <c r="F5" s="62"/>
      <c r="G5" s="62"/>
      <c r="H5" s="62"/>
      <c r="I5" s="62"/>
      <c r="J5" s="62"/>
    </row>
    <row r="6" customFormat="false" ht="24" hidden="false" customHeight="true" outlineLevel="0" collapsed="false">
      <c r="A6" s="9" t="s">
        <v>17</v>
      </c>
      <c r="B6" s="9" t="s">
        <v>279</v>
      </c>
      <c r="C6" s="9" t="s">
        <v>20</v>
      </c>
      <c r="D6" s="9" t="s">
        <v>21</v>
      </c>
      <c r="E6" s="9" t="s">
        <v>280</v>
      </c>
      <c r="F6" s="9" t="s">
        <v>23</v>
      </c>
      <c r="G6" s="9" t="s">
        <v>24</v>
      </c>
      <c r="H6" s="9" t="s">
        <v>25</v>
      </c>
      <c r="I6" s="9" t="s">
        <v>30</v>
      </c>
      <c r="J6" s="9" t="s">
        <v>281</v>
      </c>
    </row>
    <row r="7" customFormat="false" ht="30" hidden="false" customHeight="true" outlineLevel="0" collapsed="false">
      <c r="A7" s="8" t="n">
        <v>1</v>
      </c>
      <c r="B7" s="10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G7" s="10" t="s">
        <v>5</v>
      </c>
      <c r="H7" s="10" t="s">
        <v>38</v>
      </c>
      <c r="I7" s="12" t="s">
        <v>39</v>
      </c>
      <c r="J7" s="13" t="s">
        <v>40</v>
      </c>
    </row>
    <row r="8" customFormat="false" ht="30" hidden="false" customHeight="true" outlineLevel="0" collapsed="false">
      <c r="A8" s="14" t="n">
        <v>2</v>
      </c>
      <c r="B8" s="15" t="s">
        <v>33</v>
      </c>
      <c r="C8" s="5" t="s">
        <v>41</v>
      </c>
      <c r="D8" s="5" t="s">
        <v>42</v>
      </c>
      <c r="E8" s="5" t="s">
        <v>43</v>
      </c>
      <c r="F8" s="5" t="s">
        <v>37</v>
      </c>
      <c r="G8" s="15" t="s">
        <v>5</v>
      </c>
      <c r="H8" s="15" t="s">
        <v>44</v>
      </c>
      <c r="I8" s="12" t="s">
        <v>39</v>
      </c>
      <c r="J8" s="13" t="s">
        <v>40</v>
      </c>
    </row>
    <row r="9" customFormat="false" ht="30" hidden="false" customHeight="true" outlineLevel="0" collapsed="false">
      <c r="A9" s="8" t="n">
        <v>3</v>
      </c>
      <c r="B9" s="10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10" t="s">
        <v>5</v>
      </c>
      <c r="H9" s="10" t="s">
        <v>50</v>
      </c>
      <c r="I9" s="12" t="s">
        <v>39</v>
      </c>
      <c r="J9" s="13" t="s">
        <v>40</v>
      </c>
    </row>
    <row r="10" customFormat="false" ht="30" hidden="false" customHeight="true" outlineLevel="0" collapsed="false">
      <c r="A10" s="14" t="n">
        <v>4</v>
      </c>
      <c r="B10" s="15" t="s">
        <v>45</v>
      </c>
      <c r="C10" s="5" t="s">
        <v>46</v>
      </c>
      <c r="D10" s="5" t="s">
        <v>47</v>
      </c>
      <c r="E10" s="5" t="s">
        <v>51</v>
      </c>
      <c r="F10" s="5" t="s">
        <v>49</v>
      </c>
      <c r="G10" s="15" t="s">
        <v>5</v>
      </c>
      <c r="H10" s="15" t="s">
        <v>52</v>
      </c>
      <c r="I10" s="12" t="s">
        <v>39</v>
      </c>
      <c r="J10" s="13" t="s">
        <v>40</v>
      </c>
    </row>
    <row r="11" customFormat="false" ht="30" hidden="false" customHeight="true" outlineLevel="0" collapsed="false">
      <c r="A11" s="8" t="n">
        <v>5</v>
      </c>
      <c r="B11" s="10" t="s">
        <v>45</v>
      </c>
      <c r="C11" s="4" t="s">
        <v>46</v>
      </c>
      <c r="D11" s="4" t="s">
        <v>47</v>
      </c>
      <c r="E11" s="4" t="s">
        <v>53</v>
      </c>
      <c r="F11" s="4" t="s">
        <v>49</v>
      </c>
      <c r="G11" s="10" t="s">
        <v>5</v>
      </c>
      <c r="H11" s="10" t="s">
        <v>54</v>
      </c>
      <c r="I11" s="12" t="s">
        <v>39</v>
      </c>
      <c r="J11" s="13" t="s">
        <v>40</v>
      </c>
    </row>
    <row r="12" customFormat="false" ht="30" hidden="false" customHeight="true" outlineLevel="0" collapsed="false">
      <c r="A12" s="14" t="n">
        <v>6</v>
      </c>
      <c r="B12" s="15" t="s">
        <v>45</v>
      </c>
      <c r="C12" s="5" t="s">
        <v>46</v>
      </c>
      <c r="D12" s="5" t="s">
        <v>47</v>
      </c>
      <c r="E12" s="5" t="s">
        <v>55</v>
      </c>
      <c r="F12" s="5" t="s">
        <v>49</v>
      </c>
      <c r="G12" s="15" t="s">
        <v>5</v>
      </c>
      <c r="H12" s="15" t="s">
        <v>56</v>
      </c>
      <c r="I12" s="12" t="s">
        <v>39</v>
      </c>
      <c r="J12" s="13" t="s">
        <v>40</v>
      </c>
    </row>
    <row r="13" customFormat="false" ht="30" hidden="false" customHeight="true" outlineLevel="0" collapsed="false">
      <c r="A13" s="8" t="n">
        <v>7</v>
      </c>
      <c r="B13" s="10" t="s">
        <v>45</v>
      </c>
      <c r="C13" s="4" t="s">
        <v>57</v>
      </c>
      <c r="D13" s="4" t="s">
        <v>47</v>
      </c>
      <c r="E13" s="4" t="s">
        <v>58</v>
      </c>
      <c r="F13" s="4" t="s">
        <v>49</v>
      </c>
      <c r="G13" s="10" t="s">
        <v>5</v>
      </c>
      <c r="H13" s="10" t="s">
        <v>59</v>
      </c>
      <c r="I13" s="12" t="s">
        <v>39</v>
      </c>
      <c r="J13" s="13" t="s">
        <v>40</v>
      </c>
    </row>
    <row r="14" customFormat="false" ht="30" hidden="false" customHeight="true" outlineLevel="0" collapsed="false">
      <c r="A14" s="14" t="n">
        <v>8</v>
      </c>
      <c r="B14" s="15" t="s">
        <v>45</v>
      </c>
      <c r="C14" s="5" t="s">
        <v>57</v>
      </c>
      <c r="D14" s="5" t="s">
        <v>47</v>
      </c>
      <c r="E14" s="5" t="s">
        <v>60</v>
      </c>
      <c r="F14" s="5" t="s">
        <v>49</v>
      </c>
      <c r="G14" s="15" t="s">
        <v>5</v>
      </c>
      <c r="H14" s="15" t="s">
        <v>50</v>
      </c>
      <c r="I14" s="12" t="s">
        <v>39</v>
      </c>
      <c r="J14" s="13" t="s">
        <v>40</v>
      </c>
    </row>
    <row r="15" customFormat="false" ht="30" hidden="false" customHeight="true" outlineLevel="0" collapsed="false">
      <c r="A15" s="8" t="n">
        <v>9</v>
      </c>
      <c r="B15" s="10" t="s">
        <v>61</v>
      </c>
      <c r="C15" s="4" t="s">
        <v>62</v>
      </c>
      <c r="D15" s="4" t="s">
        <v>63</v>
      </c>
      <c r="E15" s="4" t="s">
        <v>64</v>
      </c>
      <c r="F15" s="4" t="s">
        <v>49</v>
      </c>
      <c r="G15" s="10" t="s">
        <v>5</v>
      </c>
      <c r="H15" s="10" t="s">
        <v>65</v>
      </c>
      <c r="I15" s="12" t="s">
        <v>39</v>
      </c>
      <c r="J15" s="13" t="s">
        <v>40</v>
      </c>
    </row>
    <row r="16" customFormat="false" ht="30" hidden="false" customHeight="true" outlineLevel="0" collapsed="false">
      <c r="A16" s="14" t="n">
        <v>10</v>
      </c>
      <c r="B16" s="15" t="s">
        <v>61</v>
      </c>
      <c r="C16" s="5" t="s">
        <v>62</v>
      </c>
      <c r="D16" s="5" t="s">
        <v>66</v>
      </c>
      <c r="E16" s="5" t="s">
        <v>67</v>
      </c>
      <c r="F16" s="5" t="s">
        <v>49</v>
      </c>
      <c r="G16" s="15" t="s">
        <v>5</v>
      </c>
      <c r="H16" s="15" t="s">
        <v>38</v>
      </c>
      <c r="I16" s="12" t="s">
        <v>39</v>
      </c>
      <c r="J16" s="13" t="s">
        <v>40</v>
      </c>
    </row>
    <row r="17" customFormat="false" ht="30" hidden="false" customHeight="true" outlineLevel="0" collapsed="false">
      <c r="A17" s="8" t="n">
        <v>11</v>
      </c>
      <c r="B17" s="10" t="s">
        <v>61</v>
      </c>
      <c r="C17" s="4" t="s">
        <v>68</v>
      </c>
      <c r="D17" s="4" t="s">
        <v>69</v>
      </c>
      <c r="E17" s="4" t="s">
        <v>70</v>
      </c>
      <c r="F17" s="4" t="s">
        <v>49</v>
      </c>
      <c r="G17" s="10" t="s">
        <v>5</v>
      </c>
      <c r="H17" s="10" t="s">
        <v>71</v>
      </c>
      <c r="I17" s="12" t="s">
        <v>39</v>
      </c>
      <c r="J17" s="13" t="s">
        <v>40</v>
      </c>
    </row>
    <row r="18" customFormat="false" ht="30" hidden="false" customHeight="true" outlineLevel="0" collapsed="false">
      <c r="A18" s="14" t="n">
        <v>12</v>
      </c>
      <c r="B18" s="15" t="s">
        <v>61</v>
      </c>
      <c r="C18" s="5" t="s">
        <v>68</v>
      </c>
      <c r="D18" s="5" t="s">
        <v>69</v>
      </c>
      <c r="E18" s="5" t="s">
        <v>72</v>
      </c>
      <c r="F18" s="5" t="s">
        <v>49</v>
      </c>
      <c r="G18" s="15" t="s">
        <v>5</v>
      </c>
      <c r="H18" s="15" t="s">
        <v>65</v>
      </c>
      <c r="I18" s="12" t="s">
        <v>39</v>
      </c>
      <c r="J18" s="13" t="s">
        <v>40</v>
      </c>
    </row>
    <row r="19" customFormat="false" ht="30" hidden="false" customHeight="true" outlineLevel="0" collapsed="false">
      <c r="A19" s="8" t="n">
        <v>13</v>
      </c>
      <c r="B19" s="10" t="s">
        <v>61</v>
      </c>
      <c r="C19" s="4" t="s">
        <v>62</v>
      </c>
      <c r="D19" s="4" t="s">
        <v>73</v>
      </c>
      <c r="E19" s="4" t="s">
        <v>74</v>
      </c>
      <c r="F19" s="4" t="s">
        <v>49</v>
      </c>
      <c r="G19" s="10" t="s">
        <v>5</v>
      </c>
      <c r="H19" s="10" t="s">
        <v>75</v>
      </c>
      <c r="I19" s="12" t="s">
        <v>39</v>
      </c>
      <c r="J19" s="13" t="s">
        <v>40</v>
      </c>
    </row>
    <row r="20" customFormat="false" ht="30" hidden="false" customHeight="true" outlineLevel="0" collapsed="false">
      <c r="A20" s="14" t="n">
        <v>14</v>
      </c>
      <c r="B20" s="15" t="s">
        <v>61</v>
      </c>
      <c r="C20" s="5" t="s">
        <v>62</v>
      </c>
      <c r="D20" s="5" t="s">
        <v>76</v>
      </c>
      <c r="E20" s="5" t="s">
        <v>77</v>
      </c>
      <c r="F20" s="5" t="s">
        <v>49</v>
      </c>
      <c r="G20" s="15" t="s">
        <v>5</v>
      </c>
      <c r="H20" s="15" t="s">
        <v>65</v>
      </c>
      <c r="I20" s="12" t="s">
        <v>39</v>
      </c>
      <c r="J20" s="13" t="s">
        <v>40</v>
      </c>
    </row>
    <row r="21" customFormat="false" ht="30" hidden="false" customHeight="true" outlineLevel="0" collapsed="false">
      <c r="A21" s="8" t="n">
        <v>15</v>
      </c>
      <c r="B21" s="10" t="s">
        <v>78</v>
      </c>
      <c r="C21" s="4" t="s">
        <v>79</v>
      </c>
      <c r="D21" s="4" t="s">
        <v>80</v>
      </c>
      <c r="E21" s="4" t="s">
        <v>81</v>
      </c>
      <c r="F21" s="4" t="s">
        <v>49</v>
      </c>
      <c r="G21" s="10" t="s">
        <v>5</v>
      </c>
      <c r="H21" s="10" t="s">
        <v>82</v>
      </c>
      <c r="I21" s="12" t="s">
        <v>39</v>
      </c>
      <c r="J21" s="13" t="s">
        <v>40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75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10" min="8" style="1" width="10"/>
  </cols>
  <sheetData>
    <row r="1" customFormat="false" ht="30" hidden="false" customHeight="true" outlineLevel="0" collapsed="false">
      <c r="A1" s="68" t="s">
        <v>282</v>
      </c>
      <c r="B1" s="68"/>
      <c r="C1" s="68"/>
      <c r="D1" s="68"/>
      <c r="E1" s="68"/>
      <c r="F1" s="68"/>
      <c r="G1" s="68"/>
      <c r="H1" s="68"/>
      <c r="I1" s="68"/>
      <c r="J1" s="68"/>
    </row>
    <row r="2" customFormat="false" ht="18" hidden="false" customHeight="true" outlineLevel="0" collapsed="false">
      <c r="A2" s="69" t="s">
        <v>18</v>
      </c>
      <c r="B2" s="70" t="s">
        <v>83</v>
      </c>
      <c r="C2" s="62"/>
      <c r="D2" s="62"/>
      <c r="E2" s="62"/>
      <c r="F2" s="62"/>
      <c r="G2" s="62"/>
      <c r="H2" s="62"/>
      <c r="I2" s="62"/>
      <c r="J2" s="62"/>
    </row>
    <row r="3" customFormat="false" ht="18" hidden="false" customHeight="true" outlineLevel="0" collapsed="false">
      <c r="A3" s="71" t="s">
        <v>275</v>
      </c>
      <c r="B3" s="72" t="s">
        <v>283</v>
      </c>
      <c r="C3" s="62"/>
      <c r="D3" s="62"/>
      <c r="E3" s="62"/>
      <c r="F3" s="62"/>
      <c r="G3" s="62"/>
      <c r="H3" s="62"/>
      <c r="I3" s="62"/>
      <c r="J3" s="62"/>
    </row>
    <row r="4" customFormat="false" ht="18" hidden="false" customHeight="true" outlineLevel="0" collapsed="false">
      <c r="A4" s="71" t="s">
        <v>277</v>
      </c>
      <c r="B4" s="72" t="s">
        <v>284</v>
      </c>
      <c r="C4" s="62"/>
      <c r="D4" s="62"/>
      <c r="E4" s="62"/>
      <c r="F4" s="62"/>
      <c r="G4" s="62"/>
      <c r="H4" s="62"/>
      <c r="I4" s="62"/>
      <c r="J4" s="62"/>
    </row>
    <row r="5" customFormat="false" ht="18" hidden="false" customHeight="true" outlineLevel="0" collapsed="false">
      <c r="A5" s="62"/>
      <c r="B5" s="62"/>
      <c r="C5" s="62"/>
      <c r="D5" s="62"/>
      <c r="E5" s="62"/>
      <c r="F5" s="62"/>
      <c r="G5" s="62"/>
      <c r="H5" s="62"/>
      <c r="I5" s="62"/>
      <c r="J5" s="62"/>
    </row>
    <row r="6" customFormat="false" ht="24" hidden="false" customHeight="true" outlineLevel="0" collapsed="false">
      <c r="A6" s="17" t="s">
        <v>17</v>
      </c>
      <c r="B6" s="17" t="s">
        <v>279</v>
      </c>
      <c r="C6" s="17" t="s">
        <v>20</v>
      </c>
      <c r="D6" s="17" t="s">
        <v>21</v>
      </c>
      <c r="E6" s="17" t="s">
        <v>280</v>
      </c>
      <c r="F6" s="17" t="s">
        <v>23</v>
      </c>
      <c r="G6" s="17" t="s">
        <v>24</v>
      </c>
      <c r="H6" s="17" t="s">
        <v>25</v>
      </c>
      <c r="I6" s="17" t="s">
        <v>30</v>
      </c>
      <c r="J6" s="17" t="s">
        <v>281</v>
      </c>
    </row>
    <row r="7" customFormat="false" ht="30" hidden="false" customHeight="true" outlineLevel="0" collapsed="false">
      <c r="A7" s="8" t="n">
        <v>1</v>
      </c>
      <c r="B7" s="10" t="s">
        <v>84</v>
      </c>
      <c r="C7" s="4" t="s">
        <v>85</v>
      </c>
      <c r="D7" s="4" t="s">
        <v>86</v>
      </c>
      <c r="E7" s="4" t="s">
        <v>87</v>
      </c>
      <c r="F7" s="4" t="s">
        <v>88</v>
      </c>
      <c r="G7" s="10" t="s">
        <v>5</v>
      </c>
      <c r="H7" s="10" t="s">
        <v>44</v>
      </c>
      <c r="I7" s="12" t="s">
        <v>39</v>
      </c>
      <c r="J7" s="13" t="s">
        <v>40</v>
      </c>
    </row>
    <row r="8" customFormat="false" ht="30" hidden="false" customHeight="true" outlineLevel="0" collapsed="false">
      <c r="A8" s="14" t="n">
        <v>2</v>
      </c>
      <c r="B8" s="15" t="s">
        <v>84</v>
      </c>
      <c r="C8" s="5" t="s">
        <v>89</v>
      </c>
      <c r="D8" s="5" t="s">
        <v>90</v>
      </c>
      <c r="E8" s="5" t="s">
        <v>91</v>
      </c>
      <c r="F8" s="5" t="s">
        <v>49</v>
      </c>
      <c r="G8" s="15" t="s">
        <v>5</v>
      </c>
      <c r="H8" s="15" t="s">
        <v>92</v>
      </c>
      <c r="I8" s="12" t="s">
        <v>39</v>
      </c>
      <c r="J8" s="13" t="s">
        <v>40</v>
      </c>
    </row>
    <row r="9" customFormat="false" ht="30" hidden="false" customHeight="true" outlineLevel="0" collapsed="false">
      <c r="A9" s="8" t="n">
        <v>3</v>
      </c>
      <c r="B9" s="10" t="s">
        <v>84</v>
      </c>
      <c r="C9" s="4" t="s">
        <v>93</v>
      </c>
      <c r="D9" s="4" t="s">
        <v>94</v>
      </c>
      <c r="E9" s="4" t="s">
        <v>95</v>
      </c>
      <c r="F9" s="4" t="s">
        <v>96</v>
      </c>
      <c r="G9" s="10" t="s">
        <v>5</v>
      </c>
      <c r="H9" s="10" t="s">
        <v>65</v>
      </c>
      <c r="I9" s="12" t="s">
        <v>39</v>
      </c>
      <c r="J9" s="13" t="s">
        <v>40</v>
      </c>
    </row>
    <row r="10" customFormat="false" ht="30" hidden="false" customHeight="true" outlineLevel="0" collapsed="false">
      <c r="A10" s="14" t="n">
        <v>4</v>
      </c>
      <c r="B10" s="15" t="s">
        <v>84</v>
      </c>
      <c r="C10" s="5" t="s">
        <v>97</v>
      </c>
      <c r="D10" s="5" t="s">
        <v>98</v>
      </c>
      <c r="E10" s="5" t="s">
        <v>99</v>
      </c>
      <c r="F10" s="5" t="s">
        <v>49</v>
      </c>
      <c r="G10" s="15" t="s">
        <v>5</v>
      </c>
      <c r="H10" s="15" t="s">
        <v>65</v>
      </c>
      <c r="I10" s="12" t="s">
        <v>39</v>
      </c>
      <c r="J10" s="13" t="s">
        <v>40</v>
      </c>
    </row>
    <row r="11" customFormat="false" ht="30" hidden="false" customHeight="true" outlineLevel="0" collapsed="false">
      <c r="A11" s="8" t="n">
        <v>5</v>
      </c>
      <c r="B11" s="10" t="s">
        <v>100</v>
      </c>
      <c r="C11" s="4" t="s">
        <v>101</v>
      </c>
      <c r="D11" s="4" t="s">
        <v>102</v>
      </c>
      <c r="E11" s="4" t="s">
        <v>103</v>
      </c>
      <c r="F11" s="4" t="s">
        <v>96</v>
      </c>
      <c r="G11" s="10" t="s">
        <v>5</v>
      </c>
      <c r="H11" s="10" t="s">
        <v>38</v>
      </c>
      <c r="I11" s="12" t="s">
        <v>39</v>
      </c>
      <c r="J11" s="13" t="s">
        <v>40</v>
      </c>
    </row>
    <row r="12" customFormat="false" ht="30" hidden="false" customHeight="true" outlineLevel="0" collapsed="false">
      <c r="A12" s="14" t="n">
        <v>6</v>
      </c>
      <c r="B12" s="15" t="s">
        <v>100</v>
      </c>
      <c r="C12" s="5" t="s">
        <v>101</v>
      </c>
      <c r="D12" s="5" t="s">
        <v>104</v>
      </c>
      <c r="E12" s="5" t="s">
        <v>105</v>
      </c>
      <c r="F12" s="5" t="s">
        <v>96</v>
      </c>
      <c r="G12" s="15" t="s">
        <v>5</v>
      </c>
      <c r="H12" s="15" t="s">
        <v>44</v>
      </c>
      <c r="I12" s="12" t="s">
        <v>39</v>
      </c>
      <c r="J12" s="13" t="s">
        <v>40</v>
      </c>
    </row>
    <row r="13" customFormat="false" ht="30" hidden="false" customHeight="true" outlineLevel="0" collapsed="false">
      <c r="A13" s="8" t="n">
        <v>7</v>
      </c>
      <c r="B13" s="10" t="s">
        <v>100</v>
      </c>
      <c r="C13" s="4" t="s">
        <v>101</v>
      </c>
      <c r="D13" s="4" t="s">
        <v>106</v>
      </c>
      <c r="E13" s="4" t="s">
        <v>107</v>
      </c>
      <c r="F13" s="4" t="s">
        <v>96</v>
      </c>
      <c r="G13" s="10" t="s">
        <v>5</v>
      </c>
      <c r="H13" s="10" t="s">
        <v>108</v>
      </c>
      <c r="I13" s="12" t="s">
        <v>39</v>
      </c>
      <c r="J13" s="13" t="s">
        <v>40</v>
      </c>
    </row>
    <row r="14" customFormat="false" ht="30" hidden="false" customHeight="true" outlineLevel="0" collapsed="false">
      <c r="A14" s="14" t="n">
        <v>8</v>
      </c>
      <c r="B14" s="15" t="s">
        <v>100</v>
      </c>
      <c r="C14" s="5" t="s">
        <v>109</v>
      </c>
      <c r="D14" s="5" t="s">
        <v>110</v>
      </c>
      <c r="E14" s="5" t="s">
        <v>111</v>
      </c>
      <c r="F14" s="5" t="s">
        <v>96</v>
      </c>
      <c r="G14" s="15" t="s">
        <v>5</v>
      </c>
      <c r="H14" s="15" t="s">
        <v>65</v>
      </c>
      <c r="I14" s="12" t="s">
        <v>39</v>
      </c>
      <c r="J14" s="13" t="s">
        <v>40</v>
      </c>
    </row>
    <row r="15" customFormat="false" ht="30" hidden="false" customHeight="true" outlineLevel="0" collapsed="false">
      <c r="A15" s="8" t="n">
        <v>9</v>
      </c>
      <c r="B15" s="10" t="s">
        <v>100</v>
      </c>
      <c r="C15" s="4" t="s">
        <v>109</v>
      </c>
      <c r="D15" s="4" t="s">
        <v>112</v>
      </c>
      <c r="E15" s="4" t="s">
        <v>113</v>
      </c>
      <c r="F15" s="4" t="s">
        <v>96</v>
      </c>
      <c r="G15" s="10" t="s">
        <v>5</v>
      </c>
      <c r="H15" s="10" t="s">
        <v>114</v>
      </c>
      <c r="I15" s="12" t="s">
        <v>39</v>
      </c>
      <c r="J15" s="13" t="s">
        <v>40</v>
      </c>
    </row>
    <row r="16" customFormat="false" ht="30" hidden="false" customHeight="true" outlineLevel="0" collapsed="false">
      <c r="A16" s="14" t="n">
        <v>10</v>
      </c>
      <c r="B16" s="15" t="s">
        <v>100</v>
      </c>
      <c r="C16" s="5" t="s">
        <v>109</v>
      </c>
      <c r="D16" s="5" t="s">
        <v>115</v>
      </c>
      <c r="E16" s="5" t="s">
        <v>116</v>
      </c>
      <c r="F16" s="5" t="s">
        <v>96</v>
      </c>
      <c r="G16" s="15" t="s">
        <v>5</v>
      </c>
      <c r="H16" s="15" t="s">
        <v>71</v>
      </c>
      <c r="I16" s="12" t="s">
        <v>39</v>
      </c>
      <c r="J16" s="13" t="s">
        <v>40</v>
      </c>
    </row>
    <row r="17" customFormat="false" ht="30" hidden="false" customHeight="true" outlineLevel="0" collapsed="false">
      <c r="A17" s="8" t="n">
        <v>11</v>
      </c>
      <c r="B17" s="10" t="s">
        <v>100</v>
      </c>
      <c r="C17" s="4" t="s">
        <v>109</v>
      </c>
      <c r="D17" s="4" t="s">
        <v>117</v>
      </c>
      <c r="E17" s="4" t="s">
        <v>118</v>
      </c>
      <c r="F17" s="4" t="s">
        <v>96</v>
      </c>
      <c r="G17" s="10" t="s">
        <v>5</v>
      </c>
      <c r="H17" s="10" t="s">
        <v>44</v>
      </c>
      <c r="I17" s="12" t="s">
        <v>39</v>
      </c>
      <c r="J17" s="13" t="s">
        <v>40</v>
      </c>
    </row>
    <row r="18" customFormat="false" ht="30" hidden="false" customHeight="true" outlineLevel="0" collapsed="false">
      <c r="A18" s="14" t="n">
        <v>12</v>
      </c>
      <c r="B18" s="15" t="s">
        <v>100</v>
      </c>
      <c r="C18" s="5" t="s">
        <v>109</v>
      </c>
      <c r="D18" s="5" t="s">
        <v>119</v>
      </c>
      <c r="E18" s="5" t="s">
        <v>120</v>
      </c>
      <c r="F18" s="5" t="s">
        <v>96</v>
      </c>
      <c r="G18" s="15" t="s">
        <v>5</v>
      </c>
      <c r="H18" s="15" t="s">
        <v>52</v>
      </c>
      <c r="I18" s="12" t="s">
        <v>39</v>
      </c>
      <c r="J18" s="13" t="s">
        <v>40</v>
      </c>
    </row>
    <row r="19" customFormat="false" ht="30" hidden="false" customHeight="true" outlineLevel="0" collapsed="false">
      <c r="A19" s="8" t="n">
        <v>13</v>
      </c>
      <c r="B19" s="10" t="s">
        <v>100</v>
      </c>
      <c r="C19" s="4" t="s">
        <v>109</v>
      </c>
      <c r="D19" s="4" t="s">
        <v>29</v>
      </c>
      <c r="E19" s="4" t="s">
        <v>121</v>
      </c>
      <c r="F19" s="4" t="s">
        <v>96</v>
      </c>
      <c r="G19" s="10" t="s">
        <v>5</v>
      </c>
      <c r="H19" s="10" t="s">
        <v>75</v>
      </c>
      <c r="I19" s="12" t="s">
        <v>39</v>
      </c>
      <c r="J19" s="13" t="s">
        <v>40</v>
      </c>
    </row>
    <row r="20" customFormat="false" ht="30" hidden="false" customHeight="true" outlineLevel="0" collapsed="false">
      <c r="A20" s="14" t="n">
        <v>14</v>
      </c>
      <c r="B20" s="15" t="s">
        <v>100</v>
      </c>
      <c r="C20" s="5" t="s">
        <v>109</v>
      </c>
      <c r="D20" s="5" t="s">
        <v>122</v>
      </c>
      <c r="E20" s="5" t="s">
        <v>123</v>
      </c>
      <c r="F20" s="5" t="s">
        <v>96</v>
      </c>
      <c r="G20" s="15" t="s">
        <v>5</v>
      </c>
      <c r="H20" s="15" t="s">
        <v>65</v>
      </c>
      <c r="I20" s="12" t="s">
        <v>39</v>
      </c>
      <c r="J20" s="13" t="s">
        <v>40</v>
      </c>
    </row>
    <row r="21" customFormat="false" ht="30" hidden="false" customHeight="true" outlineLevel="0" collapsed="false">
      <c r="A21" s="8" t="n">
        <v>15</v>
      </c>
      <c r="B21" s="10" t="s">
        <v>124</v>
      </c>
      <c r="C21" s="4" t="s">
        <v>125</v>
      </c>
      <c r="D21" s="4" t="s">
        <v>126</v>
      </c>
      <c r="E21" s="4" t="s">
        <v>127</v>
      </c>
      <c r="F21" s="4" t="s">
        <v>49</v>
      </c>
      <c r="G21" s="10" t="s">
        <v>5</v>
      </c>
      <c r="H21" s="10" t="s">
        <v>38</v>
      </c>
      <c r="I21" s="12" t="s">
        <v>39</v>
      </c>
      <c r="J21" s="13" t="s">
        <v>40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72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10" min="8" style="1" width="10"/>
  </cols>
  <sheetData>
    <row r="1" customFormat="false" ht="30" hidden="false" customHeight="true" outlineLevel="0" collapsed="false">
      <c r="A1" s="73" t="s">
        <v>285</v>
      </c>
      <c r="B1" s="73"/>
      <c r="C1" s="73"/>
      <c r="D1" s="73"/>
      <c r="E1" s="73"/>
      <c r="F1" s="73"/>
      <c r="G1" s="73"/>
      <c r="H1" s="73"/>
      <c r="I1" s="73"/>
      <c r="J1" s="73"/>
    </row>
    <row r="2" customFormat="false" ht="18" hidden="false" customHeight="true" outlineLevel="0" collapsed="false">
      <c r="A2" s="74" t="s">
        <v>18</v>
      </c>
      <c r="B2" s="75" t="s">
        <v>128</v>
      </c>
      <c r="C2" s="62"/>
      <c r="D2" s="62"/>
      <c r="E2" s="62"/>
      <c r="F2" s="62"/>
      <c r="G2" s="62"/>
      <c r="H2" s="62"/>
      <c r="I2" s="62"/>
      <c r="J2" s="62"/>
    </row>
    <row r="3" customFormat="false" ht="18" hidden="false" customHeight="true" outlineLevel="0" collapsed="false">
      <c r="A3" s="76" t="s">
        <v>275</v>
      </c>
      <c r="B3" s="77" t="s">
        <v>286</v>
      </c>
      <c r="C3" s="62"/>
      <c r="D3" s="62"/>
      <c r="E3" s="62"/>
      <c r="F3" s="62"/>
      <c r="G3" s="62"/>
      <c r="H3" s="62"/>
      <c r="I3" s="62"/>
      <c r="J3" s="62"/>
    </row>
    <row r="4" customFormat="false" ht="18" hidden="false" customHeight="true" outlineLevel="0" collapsed="false">
      <c r="A4" s="76" t="s">
        <v>277</v>
      </c>
      <c r="B4" s="77" t="s">
        <v>287</v>
      </c>
      <c r="C4" s="62"/>
      <c r="D4" s="62"/>
      <c r="E4" s="62"/>
      <c r="F4" s="62"/>
      <c r="G4" s="62"/>
      <c r="H4" s="62"/>
      <c r="I4" s="62"/>
      <c r="J4" s="62"/>
    </row>
    <row r="5" customFormat="false" ht="18" hidden="false" customHeight="true" outlineLevel="0" collapsed="false">
      <c r="A5" s="62"/>
      <c r="B5" s="62"/>
      <c r="C5" s="62"/>
      <c r="D5" s="62"/>
      <c r="E5" s="62"/>
      <c r="F5" s="62"/>
      <c r="G5" s="62"/>
      <c r="H5" s="62"/>
      <c r="I5" s="62"/>
      <c r="J5" s="62"/>
    </row>
    <row r="6" customFormat="false" ht="24" hidden="false" customHeight="true" outlineLevel="0" collapsed="false">
      <c r="A6" s="18" t="s">
        <v>17</v>
      </c>
      <c r="B6" s="18" t="s">
        <v>279</v>
      </c>
      <c r="C6" s="18" t="s">
        <v>20</v>
      </c>
      <c r="D6" s="18" t="s">
        <v>21</v>
      </c>
      <c r="E6" s="18" t="s">
        <v>280</v>
      </c>
      <c r="F6" s="18" t="s">
        <v>23</v>
      </c>
      <c r="G6" s="18" t="s">
        <v>24</v>
      </c>
      <c r="H6" s="18" t="s">
        <v>25</v>
      </c>
      <c r="I6" s="18" t="s">
        <v>30</v>
      </c>
      <c r="J6" s="18" t="s">
        <v>281</v>
      </c>
    </row>
    <row r="7" customFormat="false" ht="30" hidden="false" customHeight="true" outlineLevel="0" collapsed="false">
      <c r="A7" s="8" t="n">
        <v>1</v>
      </c>
      <c r="B7" s="10" t="s">
        <v>129</v>
      </c>
      <c r="C7" s="4" t="s">
        <v>130</v>
      </c>
      <c r="D7" s="4" t="s">
        <v>131</v>
      </c>
      <c r="E7" s="4" t="s">
        <v>132</v>
      </c>
      <c r="F7" s="4" t="s">
        <v>129</v>
      </c>
      <c r="G7" s="10" t="s">
        <v>5</v>
      </c>
      <c r="H7" s="10" t="s">
        <v>92</v>
      </c>
      <c r="I7" s="12" t="s">
        <v>39</v>
      </c>
      <c r="J7" s="13" t="s">
        <v>40</v>
      </c>
    </row>
    <row r="8" customFormat="false" ht="30" hidden="false" customHeight="true" outlineLevel="0" collapsed="false">
      <c r="A8" s="14" t="n">
        <v>2</v>
      </c>
      <c r="B8" s="15" t="s">
        <v>129</v>
      </c>
      <c r="C8" s="5" t="s">
        <v>84</v>
      </c>
      <c r="D8" s="5" t="s">
        <v>133</v>
      </c>
      <c r="E8" s="5" t="s">
        <v>134</v>
      </c>
      <c r="F8" s="5" t="s">
        <v>129</v>
      </c>
      <c r="G8" s="15" t="s">
        <v>5</v>
      </c>
      <c r="H8" s="15" t="s">
        <v>44</v>
      </c>
      <c r="I8" s="12" t="s">
        <v>39</v>
      </c>
      <c r="J8" s="13" t="s">
        <v>40</v>
      </c>
    </row>
    <row r="9" customFormat="false" ht="30" hidden="false" customHeight="true" outlineLevel="0" collapsed="false">
      <c r="A9" s="8" t="n">
        <v>3</v>
      </c>
      <c r="B9" s="10" t="s">
        <v>129</v>
      </c>
      <c r="C9" s="4" t="s">
        <v>135</v>
      </c>
      <c r="D9" s="4" t="s">
        <v>133</v>
      </c>
      <c r="E9" s="4" t="s">
        <v>136</v>
      </c>
      <c r="F9" s="4" t="s">
        <v>129</v>
      </c>
      <c r="G9" s="10" t="s">
        <v>5</v>
      </c>
      <c r="H9" s="10" t="s">
        <v>38</v>
      </c>
      <c r="I9" s="12" t="s">
        <v>39</v>
      </c>
      <c r="J9" s="13" t="s">
        <v>40</v>
      </c>
    </row>
    <row r="10" customFormat="false" ht="30" hidden="false" customHeight="true" outlineLevel="0" collapsed="false">
      <c r="A10" s="14" t="n">
        <v>4</v>
      </c>
      <c r="B10" s="15" t="s">
        <v>129</v>
      </c>
      <c r="C10" s="5" t="s">
        <v>137</v>
      </c>
      <c r="D10" s="5" t="s">
        <v>133</v>
      </c>
      <c r="E10" s="5" t="s">
        <v>138</v>
      </c>
      <c r="F10" s="5" t="s">
        <v>129</v>
      </c>
      <c r="G10" s="15" t="s">
        <v>5</v>
      </c>
      <c r="H10" s="15" t="s">
        <v>82</v>
      </c>
      <c r="I10" s="12" t="s">
        <v>39</v>
      </c>
      <c r="J10" s="13" t="s">
        <v>40</v>
      </c>
    </row>
    <row r="11" customFormat="false" ht="30" hidden="false" customHeight="true" outlineLevel="0" collapsed="false">
      <c r="A11" s="8" t="n">
        <v>5</v>
      </c>
      <c r="B11" s="10" t="s">
        <v>129</v>
      </c>
      <c r="C11" s="4" t="s">
        <v>106</v>
      </c>
      <c r="D11" s="4" t="s">
        <v>133</v>
      </c>
      <c r="E11" s="4" t="s">
        <v>139</v>
      </c>
      <c r="F11" s="4" t="s">
        <v>129</v>
      </c>
      <c r="G11" s="10" t="s">
        <v>5</v>
      </c>
      <c r="H11" s="10" t="s">
        <v>71</v>
      </c>
      <c r="I11" s="12" t="s">
        <v>39</v>
      </c>
      <c r="J11" s="13" t="s">
        <v>40</v>
      </c>
    </row>
    <row r="12" customFormat="false" ht="30" hidden="false" customHeight="true" outlineLevel="0" collapsed="false">
      <c r="A12" s="14" t="n">
        <v>6</v>
      </c>
      <c r="B12" s="15" t="s">
        <v>129</v>
      </c>
      <c r="C12" s="5" t="s">
        <v>140</v>
      </c>
      <c r="D12" s="5" t="s">
        <v>141</v>
      </c>
      <c r="E12" s="5" t="s">
        <v>142</v>
      </c>
      <c r="F12" s="5" t="s">
        <v>129</v>
      </c>
      <c r="G12" s="15" t="s">
        <v>5</v>
      </c>
      <c r="H12" s="15" t="s">
        <v>143</v>
      </c>
      <c r="I12" s="12" t="s">
        <v>39</v>
      </c>
      <c r="J12" s="13" t="s">
        <v>40</v>
      </c>
    </row>
    <row r="13" customFormat="false" ht="30" hidden="false" customHeight="true" outlineLevel="0" collapsed="false">
      <c r="A13" s="8" t="n">
        <v>7</v>
      </c>
      <c r="B13" s="10" t="s">
        <v>129</v>
      </c>
      <c r="C13" s="4" t="s">
        <v>144</v>
      </c>
      <c r="D13" s="4" t="s">
        <v>145</v>
      </c>
      <c r="E13" s="4" t="s">
        <v>146</v>
      </c>
      <c r="F13" s="4" t="s">
        <v>129</v>
      </c>
      <c r="G13" s="10" t="s">
        <v>5</v>
      </c>
      <c r="H13" s="10" t="s">
        <v>65</v>
      </c>
      <c r="I13" s="12" t="s">
        <v>39</v>
      </c>
      <c r="J13" s="13" t="s">
        <v>40</v>
      </c>
    </row>
    <row r="14" customFormat="false" ht="30" hidden="false" customHeight="true" outlineLevel="0" collapsed="false">
      <c r="A14" s="14" t="n">
        <v>8</v>
      </c>
      <c r="B14" s="15" t="s">
        <v>129</v>
      </c>
      <c r="C14" s="5" t="s">
        <v>144</v>
      </c>
      <c r="D14" s="5" t="s">
        <v>147</v>
      </c>
      <c r="E14" s="5" t="s">
        <v>148</v>
      </c>
      <c r="F14" s="5" t="s">
        <v>129</v>
      </c>
      <c r="G14" s="15" t="s">
        <v>5</v>
      </c>
      <c r="H14" s="15" t="s">
        <v>54</v>
      </c>
      <c r="I14" s="12" t="s">
        <v>39</v>
      </c>
      <c r="J14" s="13" t="s">
        <v>40</v>
      </c>
    </row>
    <row r="15" customFormat="false" ht="30" hidden="false" customHeight="true" outlineLevel="0" collapsed="false">
      <c r="A15" s="8" t="n">
        <v>9</v>
      </c>
      <c r="B15" s="10" t="s">
        <v>100</v>
      </c>
      <c r="C15" s="4" t="s">
        <v>149</v>
      </c>
      <c r="D15" s="4" t="s">
        <v>150</v>
      </c>
      <c r="E15" s="4" t="s">
        <v>151</v>
      </c>
      <c r="F15" s="4" t="s">
        <v>96</v>
      </c>
      <c r="G15" s="10" t="s">
        <v>5</v>
      </c>
      <c r="H15" s="10" t="s">
        <v>65</v>
      </c>
      <c r="I15" s="12" t="s">
        <v>39</v>
      </c>
      <c r="J15" s="13" t="s">
        <v>40</v>
      </c>
    </row>
    <row r="16" customFormat="false" ht="30" hidden="false" customHeight="true" outlineLevel="0" collapsed="false">
      <c r="A16" s="14" t="n">
        <v>10</v>
      </c>
      <c r="B16" s="15" t="s">
        <v>100</v>
      </c>
      <c r="C16" s="5" t="s">
        <v>149</v>
      </c>
      <c r="D16" s="5" t="s">
        <v>150</v>
      </c>
      <c r="E16" s="5" t="s">
        <v>152</v>
      </c>
      <c r="F16" s="5" t="s">
        <v>96</v>
      </c>
      <c r="G16" s="15" t="s">
        <v>5</v>
      </c>
      <c r="H16" s="15" t="s">
        <v>52</v>
      </c>
      <c r="I16" s="12" t="s">
        <v>39</v>
      </c>
      <c r="J16" s="13" t="s">
        <v>40</v>
      </c>
    </row>
    <row r="17" customFormat="false" ht="21.75" hidden="false" customHeight="true" outlineLevel="0" collapsed="false">
      <c r="A17" s="78" t="s">
        <v>288</v>
      </c>
      <c r="B17" s="78"/>
      <c r="C17" s="78"/>
      <c r="D17" s="78"/>
      <c r="E17" s="78"/>
      <c r="F17" s="78"/>
      <c r="G17" s="78"/>
      <c r="H17" s="78"/>
      <c r="I17" s="78"/>
      <c r="J17" s="78"/>
    </row>
    <row r="18" customFormat="false" ht="33.75" hidden="false" customHeight="true" outlineLevel="0" collapsed="false">
      <c r="A18" s="14" t="n">
        <v>12</v>
      </c>
      <c r="B18" s="15" t="s">
        <v>216</v>
      </c>
      <c r="C18" s="15" t="s">
        <v>100</v>
      </c>
      <c r="D18" s="15" t="s">
        <v>226</v>
      </c>
      <c r="E18" s="5" t="s">
        <v>227</v>
      </c>
      <c r="F18" s="15" t="s">
        <v>96</v>
      </c>
      <c r="G18" s="15" t="s">
        <v>5</v>
      </c>
      <c r="H18" s="15" t="s">
        <v>52</v>
      </c>
      <c r="I18" s="12" t="s">
        <v>39</v>
      </c>
      <c r="J18" s="13" t="s">
        <v>40</v>
      </c>
    </row>
    <row r="19" customFormat="false" ht="33.75" hidden="false" customHeight="true" outlineLevel="0" collapsed="false">
      <c r="A19" s="8" t="n">
        <v>13</v>
      </c>
      <c r="B19" s="10" t="s">
        <v>216</v>
      </c>
      <c r="C19" s="10" t="s">
        <v>100</v>
      </c>
      <c r="D19" s="10" t="s">
        <v>228</v>
      </c>
      <c r="E19" s="4" t="s">
        <v>229</v>
      </c>
      <c r="F19" s="10" t="s">
        <v>96</v>
      </c>
      <c r="G19" s="10" t="s">
        <v>5</v>
      </c>
      <c r="H19" s="10" t="s">
        <v>92</v>
      </c>
      <c r="I19" s="12" t="s">
        <v>39</v>
      </c>
      <c r="J19" s="13" t="s">
        <v>40</v>
      </c>
    </row>
    <row r="20" customFormat="false" ht="33.75" hidden="false" customHeight="true" outlineLevel="0" collapsed="false">
      <c r="A20" s="14" t="n">
        <v>14</v>
      </c>
      <c r="B20" s="15" t="s">
        <v>216</v>
      </c>
      <c r="C20" s="15" t="s">
        <v>100</v>
      </c>
      <c r="D20" s="15" t="s">
        <v>228</v>
      </c>
      <c r="E20" s="5" t="s">
        <v>230</v>
      </c>
      <c r="F20" s="15" t="s">
        <v>96</v>
      </c>
      <c r="G20" s="15" t="s">
        <v>5</v>
      </c>
      <c r="H20" s="15" t="s">
        <v>71</v>
      </c>
      <c r="I20" s="12" t="s">
        <v>39</v>
      </c>
      <c r="J20" s="13" t="s">
        <v>40</v>
      </c>
    </row>
    <row r="21" customFormat="false" ht="33.75" hidden="false" customHeight="true" outlineLevel="0" collapsed="false">
      <c r="A21" s="8" t="n">
        <v>15</v>
      </c>
      <c r="B21" s="10" t="s">
        <v>216</v>
      </c>
      <c r="C21" s="10" t="s">
        <v>100</v>
      </c>
      <c r="D21" s="10" t="s">
        <v>231</v>
      </c>
      <c r="E21" s="4" t="s">
        <v>289</v>
      </c>
      <c r="F21" s="10" t="s">
        <v>96</v>
      </c>
      <c r="G21" s="10" t="s">
        <v>5</v>
      </c>
      <c r="H21" s="10" t="s">
        <v>82</v>
      </c>
      <c r="I21" s="12" t="s">
        <v>39</v>
      </c>
      <c r="J21" s="13" t="s">
        <v>40</v>
      </c>
    </row>
    <row r="22" customFormat="false" ht="33.75" hidden="false" customHeight="true" outlineLevel="0" collapsed="false">
      <c r="A22" s="14" t="n">
        <v>16</v>
      </c>
      <c r="B22" s="15" t="s">
        <v>216</v>
      </c>
      <c r="C22" s="15" t="s">
        <v>100</v>
      </c>
      <c r="D22" s="15" t="s">
        <v>233</v>
      </c>
      <c r="E22" s="5" t="s">
        <v>234</v>
      </c>
      <c r="F22" s="15" t="s">
        <v>96</v>
      </c>
      <c r="G22" s="15" t="s">
        <v>5</v>
      </c>
      <c r="H22" s="15" t="s">
        <v>54</v>
      </c>
      <c r="I22" s="12" t="s">
        <v>39</v>
      </c>
      <c r="J22" s="13" t="s">
        <v>40</v>
      </c>
    </row>
    <row r="23" customFormat="false" ht="33.75" hidden="false" customHeight="true" outlineLevel="0" collapsed="false">
      <c r="A23" s="8" t="n">
        <v>17</v>
      </c>
      <c r="B23" s="10" t="s">
        <v>216</v>
      </c>
      <c r="C23" s="10" t="s">
        <v>129</v>
      </c>
      <c r="D23" s="10" t="s">
        <v>235</v>
      </c>
      <c r="E23" s="4" t="s">
        <v>290</v>
      </c>
      <c r="F23" s="10" t="s">
        <v>129</v>
      </c>
      <c r="G23" s="10" t="s">
        <v>5</v>
      </c>
      <c r="H23" s="10" t="s">
        <v>71</v>
      </c>
      <c r="I23" s="12" t="s">
        <v>39</v>
      </c>
      <c r="J23" s="13" t="s">
        <v>40</v>
      </c>
    </row>
    <row r="24" customFormat="false" ht="33.75" hidden="false" customHeight="true" outlineLevel="0" collapsed="false">
      <c r="A24" s="14" t="n">
        <v>18</v>
      </c>
      <c r="B24" s="15" t="s">
        <v>216</v>
      </c>
      <c r="C24" s="15" t="s">
        <v>129</v>
      </c>
      <c r="D24" s="15" t="s">
        <v>238</v>
      </c>
      <c r="E24" s="5" t="s">
        <v>291</v>
      </c>
      <c r="F24" s="15" t="s">
        <v>129</v>
      </c>
      <c r="G24" s="15" t="s">
        <v>5</v>
      </c>
      <c r="H24" s="15" t="s">
        <v>143</v>
      </c>
      <c r="I24" s="12" t="s">
        <v>39</v>
      </c>
      <c r="J24" s="13" t="s">
        <v>40</v>
      </c>
    </row>
    <row r="25" customFormat="false" ht="33.75" hidden="false" customHeight="true" outlineLevel="0" collapsed="false">
      <c r="A25" s="8" t="n">
        <v>19</v>
      </c>
      <c r="B25" s="10" t="s">
        <v>216</v>
      </c>
      <c r="C25" s="10" t="s">
        <v>129</v>
      </c>
      <c r="D25" s="10" t="s">
        <v>240</v>
      </c>
      <c r="E25" s="4" t="s">
        <v>241</v>
      </c>
      <c r="F25" s="10" t="s">
        <v>129</v>
      </c>
      <c r="G25" s="10" t="s">
        <v>5</v>
      </c>
      <c r="H25" s="10" t="s">
        <v>65</v>
      </c>
      <c r="I25" s="12" t="s">
        <v>39</v>
      </c>
      <c r="J25" s="13" t="s">
        <v>40</v>
      </c>
    </row>
    <row r="26" customFormat="false" ht="33.75" hidden="false" customHeight="true" outlineLevel="0" collapsed="false">
      <c r="A26" s="14" t="n">
        <v>20</v>
      </c>
      <c r="B26" s="15" t="s">
        <v>216</v>
      </c>
      <c r="C26" s="15" t="s">
        <v>129</v>
      </c>
      <c r="D26" s="15" t="s">
        <v>242</v>
      </c>
      <c r="E26" s="5" t="s">
        <v>292</v>
      </c>
      <c r="F26" s="15" t="s">
        <v>129</v>
      </c>
      <c r="G26" s="15" t="s">
        <v>5</v>
      </c>
      <c r="H26" s="15" t="s">
        <v>82</v>
      </c>
      <c r="I26" s="12" t="s">
        <v>39</v>
      </c>
      <c r="J26" s="13" t="s">
        <v>40</v>
      </c>
    </row>
  </sheetData>
  <mergeCells count="2">
    <mergeCell ref="A1:J1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72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10" min="8" style="1" width="10"/>
  </cols>
  <sheetData>
    <row r="1" customFormat="false" ht="30" hidden="false" customHeight="true" outlineLevel="0" collapsed="false">
      <c r="A1" s="79" t="s">
        <v>293</v>
      </c>
      <c r="B1" s="79"/>
      <c r="C1" s="79"/>
      <c r="D1" s="79"/>
      <c r="E1" s="79"/>
      <c r="F1" s="79"/>
      <c r="G1" s="79"/>
      <c r="H1" s="79"/>
      <c r="I1" s="79"/>
      <c r="J1" s="79"/>
    </row>
    <row r="2" customFormat="false" ht="18" hidden="false" customHeight="true" outlineLevel="0" collapsed="false">
      <c r="A2" s="80" t="s">
        <v>18</v>
      </c>
      <c r="B2" s="81" t="s">
        <v>153</v>
      </c>
      <c r="C2" s="62"/>
      <c r="D2" s="62"/>
      <c r="E2" s="62"/>
      <c r="F2" s="62"/>
      <c r="G2" s="62"/>
      <c r="H2" s="62"/>
      <c r="I2" s="62"/>
      <c r="J2" s="62"/>
    </row>
    <row r="3" customFormat="false" ht="18" hidden="false" customHeight="true" outlineLevel="0" collapsed="false">
      <c r="A3" s="82" t="s">
        <v>275</v>
      </c>
      <c r="B3" s="83" t="s">
        <v>294</v>
      </c>
      <c r="C3" s="62"/>
      <c r="D3" s="62"/>
      <c r="E3" s="62"/>
      <c r="F3" s="62"/>
      <c r="G3" s="62"/>
      <c r="H3" s="62"/>
      <c r="I3" s="62"/>
      <c r="J3" s="62"/>
    </row>
    <row r="4" customFormat="false" ht="18" hidden="false" customHeight="true" outlineLevel="0" collapsed="false">
      <c r="A4" s="82" t="s">
        <v>277</v>
      </c>
      <c r="B4" s="83" t="s">
        <v>295</v>
      </c>
      <c r="C4" s="62"/>
      <c r="D4" s="62"/>
      <c r="E4" s="62"/>
      <c r="F4" s="62"/>
      <c r="G4" s="62"/>
      <c r="H4" s="62"/>
      <c r="I4" s="62"/>
      <c r="J4" s="62"/>
    </row>
    <row r="5" customFormat="false" ht="18" hidden="false" customHeight="true" outlineLevel="0" collapsed="false">
      <c r="A5" s="62"/>
      <c r="B5" s="62"/>
      <c r="C5" s="62"/>
      <c r="D5" s="62"/>
      <c r="E5" s="62"/>
      <c r="F5" s="62"/>
      <c r="G5" s="62"/>
      <c r="H5" s="62"/>
      <c r="I5" s="62"/>
      <c r="J5" s="62"/>
    </row>
    <row r="6" customFormat="false" ht="24" hidden="false" customHeight="true" outlineLevel="0" collapsed="false">
      <c r="A6" s="19" t="s">
        <v>17</v>
      </c>
      <c r="B6" s="19" t="s">
        <v>279</v>
      </c>
      <c r="C6" s="19" t="s">
        <v>20</v>
      </c>
      <c r="D6" s="19" t="s">
        <v>21</v>
      </c>
      <c r="E6" s="19" t="s">
        <v>280</v>
      </c>
      <c r="F6" s="19" t="s">
        <v>23</v>
      </c>
      <c r="G6" s="19" t="s">
        <v>24</v>
      </c>
      <c r="H6" s="19" t="s">
        <v>25</v>
      </c>
      <c r="I6" s="19" t="s">
        <v>30</v>
      </c>
      <c r="J6" s="19" t="s">
        <v>281</v>
      </c>
    </row>
    <row r="7" customFormat="false" ht="30" hidden="false" customHeight="true" outlineLevel="0" collapsed="false">
      <c r="A7" s="8" t="n">
        <v>1</v>
      </c>
      <c r="B7" s="10" t="s">
        <v>45</v>
      </c>
      <c r="C7" s="4" t="s">
        <v>154</v>
      </c>
      <c r="D7" s="4" t="s">
        <v>155</v>
      </c>
      <c r="E7" s="4" t="s">
        <v>156</v>
      </c>
      <c r="F7" s="4" t="s">
        <v>49</v>
      </c>
      <c r="G7" s="10" t="s">
        <v>5</v>
      </c>
      <c r="H7" s="10" t="s">
        <v>82</v>
      </c>
      <c r="I7" s="12" t="s">
        <v>39</v>
      </c>
      <c r="J7" s="13" t="s">
        <v>40</v>
      </c>
    </row>
    <row r="8" customFormat="false" ht="30" hidden="false" customHeight="true" outlineLevel="0" collapsed="false">
      <c r="A8" s="14" t="n">
        <v>2</v>
      </c>
      <c r="B8" s="15" t="s">
        <v>45</v>
      </c>
      <c r="C8" s="5" t="s">
        <v>47</v>
      </c>
      <c r="D8" s="5" t="s">
        <v>157</v>
      </c>
      <c r="E8" s="5" t="s">
        <v>158</v>
      </c>
      <c r="F8" s="5" t="s">
        <v>49</v>
      </c>
      <c r="G8" s="15" t="s">
        <v>5</v>
      </c>
      <c r="H8" s="15" t="s">
        <v>108</v>
      </c>
      <c r="I8" s="12" t="s">
        <v>39</v>
      </c>
      <c r="J8" s="13" t="s">
        <v>40</v>
      </c>
    </row>
    <row r="9" customFormat="false" ht="30" hidden="false" customHeight="true" outlineLevel="0" collapsed="false">
      <c r="A9" s="8" t="n">
        <v>3</v>
      </c>
      <c r="B9" s="10" t="s">
        <v>45</v>
      </c>
      <c r="C9" s="4" t="s">
        <v>57</v>
      </c>
      <c r="D9" s="4" t="s">
        <v>47</v>
      </c>
      <c r="E9" s="4" t="s">
        <v>159</v>
      </c>
      <c r="F9" s="4" t="s">
        <v>49</v>
      </c>
      <c r="G9" s="10" t="s">
        <v>5</v>
      </c>
      <c r="H9" s="10" t="s">
        <v>65</v>
      </c>
      <c r="I9" s="12" t="s">
        <v>39</v>
      </c>
      <c r="J9" s="13" t="s">
        <v>40</v>
      </c>
    </row>
    <row r="10" customFormat="false" ht="30" hidden="false" customHeight="true" outlineLevel="0" collapsed="false">
      <c r="A10" s="14" t="n">
        <v>4</v>
      </c>
      <c r="B10" s="15" t="s">
        <v>100</v>
      </c>
      <c r="C10" s="5" t="s">
        <v>160</v>
      </c>
      <c r="D10" s="5" t="s">
        <v>161</v>
      </c>
      <c r="E10" s="5" t="s">
        <v>162</v>
      </c>
      <c r="F10" s="5" t="s">
        <v>96</v>
      </c>
      <c r="G10" s="15" t="s">
        <v>5</v>
      </c>
      <c r="H10" s="15" t="s">
        <v>71</v>
      </c>
      <c r="I10" s="12" t="s">
        <v>39</v>
      </c>
      <c r="J10" s="13" t="s">
        <v>40</v>
      </c>
    </row>
    <row r="11" customFormat="false" ht="30" hidden="false" customHeight="true" outlineLevel="0" collapsed="false">
      <c r="A11" s="8" t="n">
        <v>5</v>
      </c>
      <c r="B11" s="10" t="s">
        <v>49</v>
      </c>
      <c r="C11" s="4" t="s">
        <v>163</v>
      </c>
      <c r="D11" s="4" t="s">
        <v>164</v>
      </c>
      <c r="E11" s="4" t="s">
        <v>165</v>
      </c>
      <c r="F11" s="4" t="s">
        <v>49</v>
      </c>
      <c r="G11" s="10" t="s">
        <v>5</v>
      </c>
      <c r="H11" s="10" t="s">
        <v>166</v>
      </c>
      <c r="I11" s="12" t="s">
        <v>39</v>
      </c>
      <c r="J11" s="13" t="s">
        <v>40</v>
      </c>
    </row>
    <row r="12" customFormat="false" ht="30" hidden="false" customHeight="true" outlineLevel="0" collapsed="false">
      <c r="A12" s="14" t="n">
        <v>6</v>
      </c>
      <c r="B12" s="15" t="s">
        <v>167</v>
      </c>
      <c r="C12" s="5" t="s">
        <v>61</v>
      </c>
      <c r="D12" s="5" t="s">
        <v>168</v>
      </c>
      <c r="E12" s="5" t="s">
        <v>169</v>
      </c>
      <c r="F12" s="5" t="s">
        <v>49</v>
      </c>
      <c r="G12" s="15" t="s">
        <v>5</v>
      </c>
      <c r="H12" s="15" t="s">
        <v>75</v>
      </c>
      <c r="I12" s="12" t="s">
        <v>39</v>
      </c>
      <c r="J12" s="13" t="s">
        <v>40</v>
      </c>
    </row>
    <row r="13" customFormat="false" ht="30" hidden="false" customHeight="true" outlineLevel="0" collapsed="false">
      <c r="A13" s="8" t="n">
        <v>7</v>
      </c>
      <c r="B13" s="10" t="s">
        <v>170</v>
      </c>
      <c r="C13" s="4" t="s">
        <v>171</v>
      </c>
      <c r="D13" s="4" t="s">
        <v>172</v>
      </c>
      <c r="E13" s="4" t="s">
        <v>173</v>
      </c>
      <c r="F13" s="4" t="s">
        <v>170</v>
      </c>
      <c r="G13" s="10" t="s">
        <v>5</v>
      </c>
      <c r="H13" s="10" t="s">
        <v>65</v>
      </c>
      <c r="I13" s="12" t="s">
        <v>39</v>
      </c>
      <c r="J13" s="13" t="s">
        <v>40</v>
      </c>
    </row>
    <row r="14" customFormat="false" ht="30" hidden="false" customHeight="true" outlineLevel="0" collapsed="false">
      <c r="A14" s="14" t="n">
        <v>8</v>
      </c>
      <c r="B14" s="15" t="s">
        <v>78</v>
      </c>
      <c r="C14" s="5" t="s">
        <v>174</v>
      </c>
      <c r="D14" s="5" t="s">
        <v>175</v>
      </c>
      <c r="E14" s="5" t="s">
        <v>176</v>
      </c>
      <c r="F14" s="5" t="s">
        <v>78</v>
      </c>
      <c r="G14" s="15" t="s">
        <v>5</v>
      </c>
      <c r="H14" s="15" t="s">
        <v>52</v>
      </c>
      <c r="I14" s="12" t="s">
        <v>39</v>
      </c>
      <c r="J14" s="13" t="s">
        <v>40</v>
      </c>
    </row>
    <row r="15" customFormat="false" ht="21.75" hidden="false" customHeight="true" outlineLevel="0" collapsed="false">
      <c r="A15" s="78" t="s">
        <v>296</v>
      </c>
      <c r="B15" s="78"/>
      <c r="C15" s="78"/>
      <c r="D15" s="78"/>
      <c r="E15" s="78"/>
      <c r="F15" s="78"/>
      <c r="G15" s="78"/>
      <c r="H15" s="78"/>
      <c r="I15" s="78"/>
      <c r="J15" s="78"/>
    </row>
    <row r="16" customFormat="false" ht="33.75" hidden="false" customHeight="true" outlineLevel="0" collapsed="false">
      <c r="A16" s="14" t="n">
        <v>10</v>
      </c>
      <c r="B16" s="15" t="s">
        <v>216</v>
      </c>
      <c r="C16" s="15" t="s">
        <v>49</v>
      </c>
      <c r="D16" s="15" t="s">
        <v>217</v>
      </c>
      <c r="E16" s="5" t="s">
        <v>297</v>
      </c>
      <c r="F16" s="15" t="s">
        <v>49</v>
      </c>
      <c r="G16" s="15" t="s">
        <v>5</v>
      </c>
      <c r="H16" s="15" t="s">
        <v>52</v>
      </c>
      <c r="I16" s="12" t="s">
        <v>39</v>
      </c>
      <c r="J16" s="13" t="s">
        <v>40</v>
      </c>
    </row>
    <row r="17" customFormat="false" ht="33.75" hidden="false" customHeight="true" outlineLevel="0" collapsed="false">
      <c r="A17" s="8" t="n">
        <v>11</v>
      </c>
      <c r="B17" s="10" t="s">
        <v>216</v>
      </c>
      <c r="C17" s="10" t="s">
        <v>49</v>
      </c>
      <c r="D17" s="10" t="s">
        <v>219</v>
      </c>
      <c r="E17" s="4" t="s">
        <v>298</v>
      </c>
      <c r="F17" s="10" t="s">
        <v>49</v>
      </c>
      <c r="G17" s="10" t="s">
        <v>5</v>
      </c>
      <c r="H17" s="10" t="s">
        <v>75</v>
      </c>
      <c r="I17" s="12" t="s">
        <v>39</v>
      </c>
      <c r="J17" s="13" t="s">
        <v>40</v>
      </c>
    </row>
    <row r="18" customFormat="false" ht="33.75" hidden="false" customHeight="true" outlineLevel="0" collapsed="false">
      <c r="A18" s="14" t="n">
        <v>12</v>
      </c>
      <c r="B18" s="15" t="s">
        <v>216</v>
      </c>
      <c r="C18" s="15" t="s">
        <v>49</v>
      </c>
      <c r="D18" s="15" t="s">
        <v>221</v>
      </c>
      <c r="E18" s="5" t="s">
        <v>222</v>
      </c>
      <c r="F18" s="15" t="s">
        <v>49</v>
      </c>
      <c r="G18" s="15" t="s">
        <v>5</v>
      </c>
      <c r="H18" s="15" t="s">
        <v>65</v>
      </c>
      <c r="I18" s="12" t="s">
        <v>39</v>
      </c>
      <c r="J18" s="13" t="s">
        <v>40</v>
      </c>
    </row>
    <row r="19" customFormat="false" ht="33.75" hidden="false" customHeight="true" outlineLevel="0" collapsed="false">
      <c r="A19" s="8" t="n">
        <v>13</v>
      </c>
      <c r="B19" s="10" t="s">
        <v>216</v>
      </c>
      <c r="C19" s="10" t="s">
        <v>49</v>
      </c>
      <c r="D19" s="10" t="s">
        <v>221</v>
      </c>
      <c r="E19" s="4" t="s">
        <v>223</v>
      </c>
      <c r="F19" s="10" t="s">
        <v>49</v>
      </c>
      <c r="G19" s="10" t="s">
        <v>5</v>
      </c>
      <c r="H19" s="10" t="s">
        <v>71</v>
      </c>
      <c r="I19" s="12" t="s">
        <v>39</v>
      </c>
      <c r="J19" s="13" t="s">
        <v>40</v>
      </c>
    </row>
    <row r="20" customFormat="false" ht="33.75" hidden="false" customHeight="true" outlineLevel="0" collapsed="false">
      <c r="A20" s="14" t="n">
        <v>14</v>
      </c>
      <c r="B20" s="15" t="s">
        <v>216</v>
      </c>
      <c r="C20" s="15" t="s">
        <v>49</v>
      </c>
      <c r="D20" s="15" t="s">
        <v>221</v>
      </c>
      <c r="E20" s="5" t="s">
        <v>299</v>
      </c>
      <c r="F20" s="15" t="s">
        <v>49</v>
      </c>
      <c r="G20" s="15" t="s">
        <v>5</v>
      </c>
      <c r="H20" s="15" t="s">
        <v>75</v>
      </c>
      <c r="I20" s="12" t="s">
        <v>39</v>
      </c>
      <c r="J20" s="13" t="s">
        <v>40</v>
      </c>
    </row>
    <row r="21" customFormat="false" ht="33.75" hidden="false" customHeight="true" outlineLevel="0" collapsed="false">
      <c r="A21" s="8" t="n">
        <v>15</v>
      </c>
      <c r="B21" s="10" t="s">
        <v>216</v>
      </c>
      <c r="C21" s="10" t="s">
        <v>49</v>
      </c>
      <c r="D21" s="10" t="s">
        <v>221</v>
      </c>
      <c r="E21" s="4" t="s">
        <v>300</v>
      </c>
      <c r="F21" s="10" t="s">
        <v>49</v>
      </c>
      <c r="G21" s="10" t="s">
        <v>5</v>
      </c>
      <c r="H21" s="10" t="s">
        <v>65</v>
      </c>
      <c r="I21" s="12" t="s">
        <v>39</v>
      </c>
      <c r="J21" s="13" t="s">
        <v>40</v>
      </c>
    </row>
  </sheetData>
  <mergeCells count="2">
    <mergeCell ref="A1:J1"/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75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10" min="8" style="1" width="10"/>
  </cols>
  <sheetData>
    <row r="1" customFormat="false" ht="30" hidden="false" customHeight="true" outlineLevel="0" collapsed="false">
      <c r="A1" s="84" t="s">
        <v>301</v>
      </c>
      <c r="B1" s="84"/>
      <c r="C1" s="84"/>
      <c r="D1" s="84"/>
      <c r="E1" s="84"/>
      <c r="F1" s="84"/>
      <c r="G1" s="84"/>
      <c r="H1" s="84"/>
      <c r="I1" s="84"/>
      <c r="J1" s="84"/>
    </row>
    <row r="2" customFormat="false" ht="18" hidden="false" customHeight="true" outlineLevel="0" collapsed="false">
      <c r="A2" s="85" t="s">
        <v>18</v>
      </c>
      <c r="B2" s="86" t="s">
        <v>177</v>
      </c>
      <c r="C2" s="62"/>
      <c r="D2" s="62"/>
      <c r="E2" s="62"/>
      <c r="F2" s="62"/>
      <c r="G2" s="62"/>
      <c r="H2" s="62"/>
      <c r="I2" s="62"/>
      <c r="J2" s="62"/>
    </row>
    <row r="3" customFormat="false" ht="18" hidden="false" customHeight="true" outlineLevel="0" collapsed="false">
      <c r="A3" s="87" t="s">
        <v>275</v>
      </c>
      <c r="B3" s="88" t="s">
        <v>302</v>
      </c>
      <c r="C3" s="62"/>
      <c r="D3" s="62"/>
      <c r="E3" s="62"/>
      <c r="F3" s="62"/>
      <c r="G3" s="62"/>
      <c r="H3" s="62"/>
      <c r="I3" s="62"/>
      <c r="J3" s="62"/>
    </row>
    <row r="4" customFormat="false" ht="18" hidden="false" customHeight="true" outlineLevel="0" collapsed="false">
      <c r="A4" s="87" t="s">
        <v>277</v>
      </c>
      <c r="B4" s="88" t="s">
        <v>303</v>
      </c>
      <c r="C4" s="62"/>
      <c r="D4" s="62"/>
      <c r="E4" s="62"/>
      <c r="F4" s="62"/>
      <c r="G4" s="62"/>
      <c r="H4" s="62"/>
      <c r="I4" s="62"/>
      <c r="J4" s="62"/>
    </row>
    <row r="5" customFormat="false" ht="18" hidden="false" customHeight="true" outlineLevel="0" collapsed="false">
      <c r="A5" s="62"/>
      <c r="B5" s="62"/>
      <c r="C5" s="62"/>
      <c r="D5" s="62"/>
      <c r="E5" s="62"/>
      <c r="F5" s="62"/>
      <c r="G5" s="62"/>
      <c r="H5" s="62"/>
      <c r="I5" s="62"/>
      <c r="J5" s="62"/>
    </row>
    <row r="6" customFormat="false" ht="24" hidden="false" customHeight="true" outlineLevel="0" collapsed="false">
      <c r="A6" s="20" t="s">
        <v>17</v>
      </c>
      <c r="B6" s="20" t="s">
        <v>279</v>
      </c>
      <c r="C6" s="20" t="s">
        <v>20</v>
      </c>
      <c r="D6" s="20" t="s">
        <v>21</v>
      </c>
      <c r="E6" s="20" t="s">
        <v>280</v>
      </c>
      <c r="F6" s="20" t="s">
        <v>23</v>
      </c>
      <c r="G6" s="20" t="s">
        <v>24</v>
      </c>
      <c r="H6" s="20" t="s">
        <v>25</v>
      </c>
      <c r="I6" s="20" t="s">
        <v>30</v>
      </c>
      <c r="J6" s="20" t="s">
        <v>281</v>
      </c>
    </row>
    <row r="7" customFormat="false" ht="30" hidden="false" customHeight="true" outlineLevel="0" collapsed="false">
      <c r="A7" s="8" t="n">
        <v>1</v>
      </c>
      <c r="B7" s="10" t="s">
        <v>178</v>
      </c>
      <c r="C7" s="4" t="s">
        <v>179</v>
      </c>
      <c r="D7" s="4" t="s">
        <v>180</v>
      </c>
      <c r="E7" s="4" t="s">
        <v>181</v>
      </c>
      <c r="F7" s="4" t="s">
        <v>49</v>
      </c>
      <c r="G7" s="10" t="s">
        <v>5</v>
      </c>
      <c r="H7" s="10" t="s">
        <v>92</v>
      </c>
      <c r="I7" s="12" t="s">
        <v>39</v>
      </c>
      <c r="J7" s="21" t="s">
        <v>182</v>
      </c>
    </row>
    <row r="8" customFormat="false" ht="30" hidden="false" customHeight="true" outlineLevel="0" collapsed="false">
      <c r="A8" s="14" t="n">
        <v>2</v>
      </c>
      <c r="B8" s="15" t="s">
        <v>178</v>
      </c>
      <c r="C8" s="5" t="s">
        <v>183</v>
      </c>
      <c r="D8" s="5" t="s">
        <v>184</v>
      </c>
      <c r="E8" s="5" t="s">
        <v>185</v>
      </c>
      <c r="F8" s="5" t="s">
        <v>49</v>
      </c>
      <c r="G8" s="15" t="s">
        <v>5</v>
      </c>
      <c r="H8" s="15" t="s">
        <v>92</v>
      </c>
      <c r="I8" s="12" t="s">
        <v>39</v>
      </c>
      <c r="J8" s="21" t="s">
        <v>182</v>
      </c>
    </row>
    <row r="9" customFormat="false" ht="30" hidden="false" customHeight="true" outlineLevel="0" collapsed="false">
      <c r="A9" s="8" t="n">
        <v>3</v>
      </c>
      <c r="B9" s="10" t="s">
        <v>178</v>
      </c>
      <c r="C9" s="4" t="s">
        <v>179</v>
      </c>
      <c r="D9" s="4" t="s">
        <v>186</v>
      </c>
      <c r="E9" s="4" t="s">
        <v>187</v>
      </c>
      <c r="F9" s="4" t="s">
        <v>49</v>
      </c>
      <c r="G9" s="10" t="s">
        <v>5</v>
      </c>
      <c r="H9" s="10" t="s">
        <v>65</v>
      </c>
      <c r="I9" s="12" t="s">
        <v>39</v>
      </c>
      <c r="J9" s="21" t="s">
        <v>182</v>
      </c>
    </row>
    <row r="10" customFormat="false" ht="30" hidden="false" customHeight="true" outlineLevel="0" collapsed="false">
      <c r="A10" s="14" t="n">
        <v>4</v>
      </c>
      <c r="B10" s="15" t="s">
        <v>178</v>
      </c>
      <c r="C10" s="5" t="s">
        <v>100</v>
      </c>
      <c r="D10" s="5" t="s">
        <v>188</v>
      </c>
      <c r="E10" s="5" t="s">
        <v>189</v>
      </c>
      <c r="F10" s="5" t="s">
        <v>96</v>
      </c>
      <c r="G10" s="15" t="s">
        <v>5</v>
      </c>
      <c r="H10" s="15" t="s">
        <v>71</v>
      </c>
      <c r="I10" s="12" t="s">
        <v>39</v>
      </c>
      <c r="J10" s="13" t="s">
        <v>40</v>
      </c>
    </row>
    <row r="11" customFormat="false" ht="30" hidden="false" customHeight="true" outlineLevel="0" collapsed="false">
      <c r="A11" s="8" t="n">
        <v>5</v>
      </c>
      <c r="B11" s="10" t="s">
        <v>178</v>
      </c>
      <c r="C11" s="4" t="s">
        <v>100</v>
      </c>
      <c r="D11" s="4" t="s">
        <v>190</v>
      </c>
      <c r="E11" s="4" t="s">
        <v>191</v>
      </c>
      <c r="F11" s="4" t="s">
        <v>96</v>
      </c>
      <c r="G11" s="10" t="s">
        <v>5</v>
      </c>
      <c r="H11" s="10" t="s">
        <v>52</v>
      </c>
      <c r="I11" s="12" t="s">
        <v>39</v>
      </c>
      <c r="J11" s="13" t="s">
        <v>40</v>
      </c>
    </row>
    <row r="12" customFormat="false" ht="30" hidden="false" customHeight="true" outlineLevel="0" collapsed="false">
      <c r="A12" s="14" t="n">
        <v>6</v>
      </c>
      <c r="B12" s="15" t="s">
        <v>178</v>
      </c>
      <c r="C12" s="5" t="s">
        <v>100</v>
      </c>
      <c r="D12" s="5" t="s">
        <v>192</v>
      </c>
      <c r="E12" s="5" t="s">
        <v>193</v>
      </c>
      <c r="F12" s="5" t="s">
        <v>96</v>
      </c>
      <c r="G12" s="15" t="s">
        <v>5</v>
      </c>
      <c r="H12" s="15" t="s">
        <v>52</v>
      </c>
      <c r="I12" s="12" t="s">
        <v>39</v>
      </c>
      <c r="J12" s="13" t="s">
        <v>40</v>
      </c>
    </row>
    <row r="13" customFormat="false" ht="30" hidden="false" customHeight="true" outlineLevel="0" collapsed="false">
      <c r="A13" s="8" t="n">
        <v>7</v>
      </c>
      <c r="B13" s="10" t="s">
        <v>178</v>
      </c>
      <c r="C13" s="4" t="s">
        <v>100</v>
      </c>
      <c r="D13" s="4" t="s">
        <v>194</v>
      </c>
      <c r="E13" s="4" t="s">
        <v>195</v>
      </c>
      <c r="F13" s="4" t="s">
        <v>96</v>
      </c>
      <c r="G13" s="10" t="s">
        <v>5</v>
      </c>
      <c r="H13" s="10" t="s">
        <v>82</v>
      </c>
      <c r="I13" s="12" t="s">
        <v>39</v>
      </c>
      <c r="J13" s="13" t="s">
        <v>40</v>
      </c>
    </row>
    <row r="14" customFormat="false" ht="30" hidden="false" customHeight="true" outlineLevel="0" collapsed="false">
      <c r="A14" s="14" t="n">
        <v>8</v>
      </c>
      <c r="B14" s="15" t="s">
        <v>178</v>
      </c>
      <c r="C14" s="5" t="s">
        <v>129</v>
      </c>
      <c r="D14" s="5" t="s">
        <v>133</v>
      </c>
      <c r="E14" s="5" t="s">
        <v>196</v>
      </c>
      <c r="F14" s="5" t="s">
        <v>129</v>
      </c>
      <c r="G14" s="15" t="s">
        <v>5</v>
      </c>
      <c r="H14" s="15" t="s">
        <v>38</v>
      </c>
      <c r="I14" s="12" t="s">
        <v>39</v>
      </c>
      <c r="J14" s="21" t="s">
        <v>182</v>
      </c>
    </row>
    <row r="15" customFormat="false" ht="30" hidden="false" customHeight="true" outlineLevel="0" collapsed="false">
      <c r="A15" s="8" t="n">
        <v>9</v>
      </c>
      <c r="B15" s="10" t="s">
        <v>178</v>
      </c>
      <c r="C15" s="4" t="s">
        <v>45</v>
      </c>
      <c r="D15" s="4" t="s">
        <v>47</v>
      </c>
      <c r="E15" s="4" t="s">
        <v>197</v>
      </c>
      <c r="F15" s="4" t="s">
        <v>49</v>
      </c>
      <c r="G15" s="10" t="s">
        <v>5</v>
      </c>
      <c r="H15" s="10" t="s">
        <v>75</v>
      </c>
      <c r="I15" s="12" t="s">
        <v>39</v>
      </c>
      <c r="J15" s="13" t="s">
        <v>40</v>
      </c>
    </row>
    <row r="16" customFormat="false" ht="30" hidden="false" customHeight="true" outlineLevel="0" collapsed="false">
      <c r="A16" s="14" t="n">
        <v>10</v>
      </c>
      <c r="B16" s="15" t="s">
        <v>178</v>
      </c>
      <c r="C16" s="5" t="s">
        <v>198</v>
      </c>
      <c r="D16" s="5" t="s">
        <v>199</v>
      </c>
      <c r="E16" s="5" t="s">
        <v>200</v>
      </c>
      <c r="F16" s="5" t="s">
        <v>170</v>
      </c>
      <c r="G16" s="15" t="s">
        <v>5</v>
      </c>
      <c r="H16" s="15" t="s">
        <v>54</v>
      </c>
      <c r="I16" s="12" t="s">
        <v>39</v>
      </c>
      <c r="J16" s="13" t="s">
        <v>40</v>
      </c>
    </row>
    <row r="17" customFormat="false" ht="30" hidden="false" customHeight="true" outlineLevel="0" collapsed="false">
      <c r="A17" s="8" t="n">
        <v>11</v>
      </c>
      <c r="B17" s="10" t="s">
        <v>178</v>
      </c>
      <c r="C17" s="4" t="s">
        <v>179</v>
      </c>
      <c r="D17" s="4" t="s">
        <v>201</v>
      </c>
      <c r="E17" s="4" t="s">
        <v>202</v>
      </c>
      <c r="F17" s="4" t="s">
        <v>49</v>
      </c>
      <c r="G17" s="10" t="s">
        <v>5</v>
      </c>
      <c r="H17" s="10" t="s">
        <v>82</v>
      </c>
      <c r="I17" s="12" t="s">
        <v>39</v>
      </c>
      <c r="J17" s="21" t="s">
        <v>182</v>
      </c>
    </row>
    <row r="18" customFormat="false" ht="30" hidden="false" customHeight="true" outlineLevel="0" collapsed="false">
      <c r="A18" s="14" t="n">
        <v>12</v>
      </c>
      <c r="B18" s="15" t="s">
        <v>178</v>
      </c>
      <c r="C18" s="5" t="s">
        <v>179</v>
      </c>
      <c r="D18" s="5" t="s">
        <v>201</v>
      </c>
      <c r="E18" s="5" t="s">
        <v>203</v>
      </c>
      <c r="F18" s="5" t="s">
        <v>96</v>
      </c>
      <c r="G18" s="15" t="s">
        <v>5</v>
      </c>
      <c r="H18" s="15" t="s">
        <v>143</v>
      </c>
      <c r="I18" s="12" t="s">
        <v>39</v>
      </c>
      <c r="J18" s="13" t="s">
        <v>40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6"/>
    <col collapsed="false" customWidth="true" hidden="false" outlineLevel="0" max="8" min="8" style="1" width="16"/>
    <col collapsed="false" customWidth="true" hidden="false" outlineLevel="0" max="10" min="9" style="1" width="12"/>
  </cols>
  <sheetData>
    <row r="1" customFormat="false" ht="33.75" hidden="false" customHeight="true" outlineLevel="0" collapsed="false">
      <c r="A1" s="89" t="s">
        <v>304</v>
      </c>
      <c r="B1" s="89"/>
      <c r="C1" s="89"/>
      <c r="D1" s="89"/>
      <c r="E1" s="89"/>
      <c r="F1" s="89"/>
      <c r="G1" s="89"/>
      <c r="H1" s="89"/>
      <c r="I1" s="89"/>
    </row>
    <row r="2" customFormat="false" ht="24" hidden="false" customHeight="true" outlineLevel="0" collapsed="false">
      <c r="A2" s="90" t="s">
        <v>305</v>
      </c>
      <c r="B2" s="90"/>
      <c r="C2" s="90"/>
      <c r="D2" s="90"/>
      <c r="E2" s="90"/>
      <c r="F2" s="90"/>
      <c r="G2" s="34"/>
      <c r="H2" s="91" t="s">
        <v>306</v>
      </c>
      <c r="I2" s="91"/>
    </row>
    <row r="3" customFormat="false" ht="21.75" hidden="false" customHeight="true" outlineLevel="0" collapsed="false">
      <c r="A3" s="35" t="s">
        <v>18</v>
      </c>
      <c r="B3" s="35" t="s">
        <v>255</v>
      </c>
      <c r="C3" s="35" t="s">
        <v>26</v>
      </c>
      <c r="D3" s="35" t="s">
        <v>27</v>
      </c>
      <c r="E3" s="35" t="s">
        <v>307</v>
      </c>
      <c r="F3" s="35" t="s">
        <v>308</v>
      </c>
      <c r="G3" s="34"/>
      <c r="H3" s="92" t="s">
        <v>30</v>
      </c>
      <c r="I3" s="92" t="s">
        <v>309</v>
      </c>
    </row>
    <row r="4" customFormat="false" ht="19.5" hidden="false" customHeight="true" outlineLevel="0" collapsed="false">
      <c r="A4" s="42" t="s">
        <v>32</v>
      </c>
      <c r="B4" s="93" t="n">
        <f aca="false">COUNTIF('liste des taches'!B:B,"V1")</f>
        <v>15</v>
      </c>
      <c r="C4" s="93" t="n">
        <f aca="false">SUMIFS('liste des taches'!J:J,'liste des taches'!B:B,"V1")</f>
        <v>12.66</v>
      </c>
      <c r="D4" s="93" t="n">
        <f aca="false">SUMIFS('liste des taches'!K:K,'liste des taches'!B:B,"V1")</f>
        <v>14.18</v>
      </c>
      <c r="E4" s="94" t="n">
        <f aca="false">IF(C4=0,0,D4/C4)</f>
        <v>1.12006319115324</v>
      </c>
      <c r="F4" s="93" t="s">
        <v>276</v>
      </c>
      <c r="G4" s="34"/>
      <c r="H4" s="95" t="s">
        <v>39</v>
      </c>
      <c r="I4" s="96" t="n">
        <f aca="false">COUNTIF('liste des taches'!N:N,"Fait")</f>
        <v>75</v>
      </c>
    </row>
    <row r="5" customFormat="false" ht="19.5" hidden="false" customHeight="true" outlineLevel="0" collapsed="false">
      <c r="A5" s="46" t="s">
        <v>83</v>
      </c>
      <c r="B5" s="97" t="n">
        <f aca="false">COUNTIF('liste des taches'!B:B,"V2")</f>
        <v>15</v>
      </c>
      <c r="C5" s="97" t="n">
        <f aca="false">SUMIFS('liste des taches'!J:J,'liste des taches'!B:B,"V2")</f>
        <v>19.42</v>
      </c>
      <c r="D5" s="97" t="n">
        <f aca="false">SUMIFS('liste des taches'!K:K,'liste des taches'!B:B,"V2")</f>
        <v>19.42</v>
      </c>
      <c r="E5" s="98" t="n">
        <f aca="false">IF(C5=0,0,D5/C5)</f>
        <v>1</v>
      </c>
      <c r="F5" s="97" t="s">
        <v>283</v>
      </c>
      <c r="G5" s="34"/>
      <c r="H5" s="99" t="s">
        <v>273</v>
      </c>
      <c r="I5" s="100" t="n">
        <f aca="false">COUNTIF('liste des taches'!N:N,"En cours")</f>
        <v>0</v>
      </c>
    </row>
    <row r="6" customFormat="false" ht="19.5" hidden="false" customHeight="true" outlineLevel="0" collapsed="false">
      <c r="A6" s="50" t="s">
        <v>128</v>
      </c>
      <c r="B6" s="93" t="n">
        <f aca="false">COUNTIF('liste des taches'!B:B,"V3")</f>
        <v>19</v>
      </c>
      <c r="C6" s="93" t="n">
        <f aca="false">SUMIFS('liste des taches'!J:J,'liste des taches'!B:B,"V3")</f>
        <v>21.98</v>
      </c>
      <c r="D6" s="93" t="n">
        <f aca="false">SUMIFS('liste des taches'!K:K,'liste des taches'!B:B,"V3")</f>
        <v>26.48</v>
      </c>
      <c r="E6" s="94" t="n">
        <f aca="false">IF(C6=0,0,D6/C6)</f>
        <v>1.20473157415833</v>
      </c>
      <c r="F6" s="93" t="s">
        <v>286</v>
      </c>
      <c r="G6" s="34"/>
      <c r="H6" s="101" t="s">
        <v>310</v>
      </c>
      <c r="I6" s="102" t="n">
        <f aca="false">COUNTIF('liste des taches'!N:N,"A faire")</f>
        <v>0</v>
      </c>
    </row>
    <row r="7" customFormat="false" ht="19.5" hidden="false" customHeight="true" outlineLevel="0" collapsed="false">
      <c r="A7" s="51" t="s">
        <v>153</v>
      </c>
      <c r="B7" s="97" t="n">
        <f aca="false">COUNTIF('liste des taches'!B:B,"V4")</f>
        <v>14</v>
      </c>
      <c r="C7" s="97" t="n">
        <f aca="false">SUMIFS('liste des taches'!J:J,'liste des taches'!B:B,"V4")</f>
        <v>11.84</v>
      </c>
      <c r="D7" s="97" t="n">
        <f aca="false">SUMIFS('liste des taches'!K:K,'liste des taches'!B:B,"V4")</f>
        <v>17.17</v>
      </c>
      <c r="E7" s="98" t="n">
        <f aca="false">IF(C7=0,0,D7/C7)</f>
        <v>1.45016891891892</v>
      </c>
      <c r="F7" s="97" t="s">
        <v>294</v>
      </c>
      <c r="G7" s="34"/>
      <c r="H7" s="34"/>
    </row>
    <row r="8" customFormat="false" ht="21.75" hidden="false" customHeight="true" outlineLevel="0" collapsed="false">
      <c r="A8" s="52" t="s">
        <v>177</v>
      </c>
      <c r="B8" s="93" t="n">
        <f aca="false">COUNTIF('liste des taches'!B:B,"V5")</f>
        <v>12</v>
      </c>
      <c r="C8" s="93" t="n">
        <f aca="false">SUMIFS('liste des taches'!J:J,'liste des taches'!B:B,"V5")</f>
        <v>14.07</v>
      </c>
      <c r="D8" s="93" t="n">
        <f aca="false">SUMIFS('liste des taches'!K:K,'liste des taches'!B:B,"V5")</f>
        <v>16.12</v>
      </c>
      <c r="E8" s="94" t="n">
        <f aca="false">IF(C8=0,0,D8/C8)</f>
        <v>1.14570007107321</v>
      </c>
      <c r="F8" s="93" t="s">
        <v>302</v>
      </c>
      <c r="G8" s="34"/>
      <c r="H8" s="103" t="s">
        <v>311</v>
      </c>
      <c r="I8" s="103"/>
    </row>
    <row r="9" customFormat="false" ht="19.5" hidden="false" customHeight="true" outlineLevel="0" collapsed="false">
      <c r="A9" s="104" t="s">
        <v>312</v>
      </c>
      <c r="B9" s="105" t="n">
        <f aca="false">SUM(B4:B8)</f>
        <v>75</v>
      </c>
      <c r="C9" s="105" t="n">
        <f aca="false">SUM(C4:C8)</f>
        <v>79.97</v>
      </c>
      <c r="D9" s="105" t="n">
        <f aca="false">SUM(D4:D8)</f>
        <v>93.37</v>
      </c>
      <c r="E9" s="106" t="n">
        <f aca="false">IF(C9=0,0,D9/C9)</f>
        <v>1.16756283606352</v>
      </c>
      <c r="F9" s="105"/>
      <c r="G9" s="34"/>
      <c r="H9" s="35" t="s">
        <v>23</v>
      </c>
      <c r="I9" s="35" t="s">
        <v>309</v>
      </c>
    </row>
    <row r="10" customFormat="false" ht="19.5" hidden="false" customHeight="true" outlineLevel="0" collapsed="false">
      <c r="A10" s="34"/>
      <c r="B10" s="34"/>
      <c r="C10" s="34"/>
      <c r="D10" s="34"/>
      <c r="E10" s="34"/>
      <c r="F10" s="34"/>
      <c r="G10" s="34"/>
      <c r="H10" s="107" t="s">
        <v>49</v>
      </c>
      <c r="I10" s="93" t="n">
        <f aca="false">COUNTIF('liste des taches'!G:G,"Backend")</f>
        <v>32</v>
      </c>
    </row>
    <row r="11" customFormat="false" ht="19.5" hidden="false" customHeight="true" outlineLevel="0" collapsed="false">
      <c r="A11" s="108" t="s">
        <v>313</v>
      </c>
      <c r="B11" s="108"/>
      <c r="C11" s="34"/>
      <c r="D11" s="34"/>
      <c r="E11" s="34"/>
      <c r="F11" s="34"/>
      <c r="G11" s="34"/>
      <c r="H11" s="109" t="s">
        <v>96</v>
      </c>
      <c r="I11" s="97" t="n">
        <f aca="false">COUNTIF('liste des taches'!G:G,"Frontend")</f>
        <v>24</v>
      </c>
    </row>
    <row r="12" customFormat="false" ht="19.5" hidden="false" customHeight="true" outlineLevel="0" collapsed="false">
      <c r="A12" s="110" t="s">
        <v>314</v>
      </c>
      <c r="B12" s="111" t="n">
        <f aca="false">COUNTIF('liste des taches'!B:B,"V1")+COUNTIF('liste des taches'!B:B,"V2")+COUNTIF('liste des taches'!B:B,"V3")+COUNTIF('liste des taches'!B:B,"V4")+COUNTIF('liste des taches'!B:B,"V5")</f>
        <v>75</v>
      </c>
      <c r="C12" s="34"/>
      <c r="D12" s="34"/>
      <c r="E12" s="34"/>
      <c r="F12" s="34"/>
      <c r="G12" s="34"/>
      <c r="H12" s="27" t="s">
        <v>129</v>
      </c>
      <c r="I12" s="93" t="n">
        <f aca="false">COUNTIF('liste des taches'!G:G,"Mobile")</f>
        <v>13</v>
      </c>
    </row>
    <row r="13" customFormat="false" ht="19.5" hidden="false" customHeight="true" outlineLevel="0" collapsed="false">
      <c r="A13" s="112" t="s">
        <v>247</v>
      </c>
      <c r="B13" s="113" t="n">
        <f aca="false">SUM('liste des taches'!J:J)</f>
        <v>79.97</v>
      </c>
      <c r="C13" s="34"/>
      <c r="D13" s="34"/>
      <c r="E13" s="34"/>
      <c r="F13" s="34"/>
      <c r="G13" s="34"/>
      <c r="H13" s="24" t="s">
        <v>88</v>
      </c>
      <c r="I13" s="97" t="n">
        <f aca="false">COUNTIF('liste des taches'!G:G,"DevOps")</f>
        <v>1</v>
      </c>
    </row>
    <row r="14" customFormat="false" ht="19.5" hidden="false" customHeight="true" outlineLevel="0" collapsed="false">
      <c r="A14" s="110" t="s">
        <v>248</v>
      </c>
      <c r="B14" s="111" t="n">
        <f aca="false">SUM('liste des taches'!K:K)</f>
        <v>93.37</v>
      </c>
      <c r="C14" s="34"/>
      <c r="D14" s="34"/>
      <c r="E14" s="34"/>
      <c r="F14" s="34"/>
      <c r="G14" s="34"/>
      <c r="H14" s="114" t="s">
        <v>170</v>
      </c>
      <c r="I14" s="93" t="n">
        <f aca="false">COUNTIF('liste des taches'!G:G,"QA")</f>
        <v>2</v>
      </c>
    </row>
    <row r="15" customFormat="false" ht="19.5" hidden="false" customHeight="true" outlineLevel="0" collapsed="false">
      <c r="A15" s="112" t="s">
        <v>250</v>
      </c>
      <c r="B15" s="115" t="n">
        <f aca="false">IF(B13=0,0,B14/B13)</f>
        <v>1.16756283606352</v>
      </c>
      <c r="C15" s="34"/>
      <c r="D15" s="34"/>
      <c r="E15" s="34"/>
      <c r="F15" s="34"/>
      <c r="G15" s="34"/>
      <c r="H15" s="116" t="s">
        <v>78</v>
      </c>
      <c r="I15" s="97" t="n">
        <f aca="false">COUNTIF('liste des taches'!G:G,"Doc")</f>
        <v>1</v>
      </c>
    </row>
    <row r="16" customFormat="false" ht="19.5" hidden="false" customHeight="true" outlineLevel="0" collapsed="false">
      <c r="A16" s="110" t="s">
        <v>315</v>
      </c>
      <c r="B16" s="117" t="n">
        <f aca="false">COUNTIF('liste des taches'!N:N,"Fait")</f>
        <v>75</v>
      </c>
      <c r="C16" s="34"/>
      <c r="D16" s="34"/>
      <c r="E16" s="34"/>
      <c r="F16" s="34"/>
      <c r="G16" s="34"/>
      <c r="H16" s="34"/>
    </row>
    <row r="17" customFormat="false" ht="19.5" hidden="false" customHeight="true" outlineLevel="0" collapsed="false">
      <c r="A17" s="112" t="s">
        <v>316</v>
      </c>
      <c r="B17" s="113" t="n">
        <f aca="false">COUNTIF('liste des taches'!N:N,"En cours")</f>
        <v>0</v>
      </c>
    </row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</sheetData>
  <mergeCells count="5">
    <mergeCell ref="A1:I1"/>
    <mergeCell ref="A2:F2"/>
    <mergeCell ref="H2:I2"/>
    <mergeCell ref="H8:I8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2026-02-15T17:22:09Z</dcterms:created>
  <dc:creator>openpyxl</dc:creator>
  <dc:description/>
  <dc:language>fr-FR</dc:language>
  <cp:lastModifiedBy/>
  <dcterms:modified xsi:type="dcterms:W3CDTF">2026-04-07T00:45:53Z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